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iss\Downloads\"/>
    </mc:Choice>
  </mc:AlternateContent>
  <xr:revisionPtr revIDLastSave="0" documentId="8_{DA5BD57A-76F7-4C93-B57E-3CD8A061D6F2}" xr6:coauthVersionLast="47" xr6:coauthVersionMax="47" xr10:uidLastSave="{00000000-0000-0000-0000-000000000000}"/>
  <bookViews>
    <workbookView xWindow="-108" yWindow="-108" windowWidth="23256" windowHeight="12456" xr2:uid="{6FCA8901-09CF-40B9-A254-168F30374C72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28" i="1" l="1"/>
  <c r="C128" i="1"/>
  <c r="D128" i="1"/>
  <c r="E128" i="1"/>
  <c r="F128" i="1"/>
  <c r="B129" i="1"/>
  <c r="C129" i="1"/>
  <c r="D129" i="1"/>
  <c r="E129" i="1"/>
  <c r="F129" i="1"/>
  <c r="B130" i="1"/>
  <c r="C130" i="1"/>
  <c r="D130" i="1"/>
  <c r="E130" i="1"/>
  <c r="F130" i="1"/>
  <c r="B131" i="1"/>
  <c r="C131" i="1"/>
  <c r="D131" i="1"/>
  <c r="E131" i="1"/>
  <c r="F131" i="1"/>
  <c r="B132" i="1"/>
  <c r="C132" i="1"/>
  <c r="D132" i="1"/>
  <c r="E132" i="1"/>
  <c r="F132" i="1"/>
  <c r="B133" i="1"/>
  <c r="C133" i="1"/>
  <c r="D133" i="1"/>
  <c r="E133" i="1"/>
  <c r="F133" i="1"/>
  <c r="B134" i="1"/>
  <c r="C134" i="1"/>
  <c r="D134" i="1"/>
  <c r="E134" i="1"/>
  <c r="F134" i="1"/>
  <c r="B135" i="1"/>
  <c r="C135" i="1"/>
  <c r="D135" i="1"/>
  <c r="E135" i="1"/>
  <c r="F135" i="1"/>
  <c r="B136" i="1"/>
  <c r="C136" i="1"/>
  <c r="D136" i="1"/>
  <c r="E136" i="1"/>
  <c r="F136" i="1"/>
  <c r="B137" i="1"/>
  <c r="C137" i="1"/>
  <c r="D137" i="1"/>
  <c r="E137" i="1"/>
  <c r="F137" i="1"/>
  <c r="B138" i="1"/>
  <c r="C138" i="1"/>
  <c r="D138" i="1"/>
  <c r="E138" i="1"/>
  <c r="F138" i="1"/>
  <c r="B139" i="1"/>
  <c r="C139" i="1"/>
  <c r="D139" i="1"/>
  <c r="E139" i="1"/>
  <c r="F139" i="1"/>
  <c r="B140" i="1"/>
  <c r="C140" i="1"/>
  <c r="D140" i="1"/>
  <c r="E140" i="1"/>
  <c r="F140" i="1"/>
  <c r="B141" i="1"/>
  <c r="C141" i="1"/>
  <c r="D141" i="1"/>
  <c r="E141" i="1"/>
  <c r="F141" i="1"/>
  <c r="B142" i="1"/>
  <c r="C142" i="1"/>
  <c r="D142" i="1"/>
  <c r="E142" i="1"/>
  <c r="F142" i="1"/>
  <c r="B143" i="1"/>
  <c r="C143" i="1"/>
  <c r="D143" i="1"/>
  <c r="E143" i="1"/>
  <c r="F143" i="1"/>
  <c r="B144" i="1"/>
  <c r="C144" i="1"/>
  <c r="D144" i="1"/>
  <c r="E144" i="1"/>
  <c r="F144" i="1"/>
  <c r="B145" i="1"/>
  <c r="C145" i="1"/>
  <c r="D145" i="1"/>
  <c r="E145" i="1"/>
  <c r="F145" i="1"/>
  <c r="B146" i="1"/>
  <c r="C146" i="1"/>
  <c r="D146" i="1"/>
  <c r="E146" i="1"/>
  <c r="F146" i="1"/>
  <c r="B147" i="1"/>
  <c r="C147" i="1"/>
  <c r="D147" i="1"/>
  <c r="E147" i="1"/>
  <c r="F147" i="1"/>
  <c r="B148" i="1"/>
  <c r="C148" i="1"/>
  <c r="D148" i="1"/>
  <c r="E148" i="1"/>
  <c r="F148" i="1"/>
  <c r="B149" i="1"/>
  <c r="C149" i="1"/>
  <c r="D149" i="1"/>
  <c r="E149" i="1"/>
  <c r="F149" i="1"/>
  <c r="B150" i="1"/>
  <c r="C150" i="1"/>
  <c r="D150" i="1"/>
  <c r="E150" i="1"/>
  <c r="F150" i="1"/>
  <c r="B151" i="1"/>
  <c r="C151" i="1"/>
  <c r="D151" i="1"/>
  <c r="E151" i="1"/>
  <c r="F151" i="1"/>
  <c r="B152" i="1"/>
  <c r="C152" i="1"/>
  <c r="D152" i="1"/>
  <c r="E152" i="1"/>
  <c r="F152" i="1"/>
  <c r="B153" i="1"/>
  <c r="C153" i="1"/>
  <c r="D153" i="1"/>
  <c r="E153" i="1"/>
  <c r="F153" i="1"/>
  <c r="B154" i="1"/>
  <c r="C154" i="1"/>
  <c r="D154" i="1"/>
  <c r="E154" i="1"/>
  <c r="F154" i="1"/>
  <c r="B155" i="1"/>
  <c r="C155" i="1"/>
  <c r="D155" i="1"/>
  <c r="E155" i="1"/>
  <c r="F155" i="1"/>
  <c r="B156" i="1"/>
  <c r="C156" i="1"/>
  <c r="D156" i="1"/>
  <c r="E156" i="1"/>
  <c r="F156" i="1"/>
  <c r="B157" i="1"/>
  <c r="C157" i="1"/>
  <c r="D157" i="1"/>
  <c r="E157" i="1"/>
  <c r="F157" i="1"/>
  <c r="B158" i="1"/>
  <c r="C158" i="1"/>
  <c r="D158" i="1"/>
  <c r="E158" i="1"/>
  <c r="F158" i="1"/>
  <c r="B159" i="1"/>
  <c r="C159" i="1"/>
  <c r="D159" i="1"/>
  <c r="E159" i="1"/>
  <c r="F159" i="1"/>
  <c r="B160" i="1"/>
  <c r="C160" i="1"/>
  <c r="D160" i="1"/>
  <c r="E160" i="1"/>
  <c r="F160" i="1"/>
  <c r="B161" i="1"/>
  <c r="C161" i="1"/>
  <c r="D161" i="1"/>
  <c r="E161" i="1"/>
  <c r="F161" i="1"/>
  <c r="B162" i="1"/>
  <c r="C162" i="1"/>
  <c r="D162" i="1"/>
  <c r="E162" i="1"/>
  <c r="F162" i="1"/>
  <c r="B163" i="1"/>
  <c r="C163" i="1"/>
  <c r="D163" i="1"/>
  <c r="E163" i="1"/>
  <c r="F163" i="1"/>
  <c r="B164" i="1"/>
  <c r="C164" i="1"/>
  <c r="D164" i="1"/>
  <c r="E164" i="1"/>
  <c r="F164" i="1"/>
  <c r="B165" i="1"/>
  <c r="C165" i="1"/>
  <c r="D165" i="1"/>
  <c r="E165" i="1"/>
  <c r="F165" i="1"/>
  <c r="B166" i="1"/>
  <c r="C166" i="1"/>
  <c r="D166" i="1"/>
  <c r="E166" i="1"/>
  <c r="F166" i="1"/>
  <c r="B167" i="1"/>
  <c r="C167" i="1"/>
  <c r="D167" i="1"/>
  <c r="E167" i="1"/>
  <c r="F167" i="1"/>
  <c r="B168" i="1"/>
  <c r="C168" i="1"/>
  <c r="D168" i="1"/>
  <c r="E168" i="1"/>
  <c r="F168" i="1"/>
  <c r="B169" i="1"/>
  <c r="C169" i="1"/>
  <c r="D169" i="1"/>
  <c r="E169" i="1"/>
  <c r="F169" i="1"/>
  <c r="B170" i="1"/>
  <c r="C170" i="1"/>
  <c r="D170" i="1"/>
  <c r="E170" i="1"/>
  <c r="F170" i="1"/>
  <c r="B171" i="1"/>
  <c r="C171" i="1"/>
  <c r="D171" i="1"/>
  <c r="E171" i="1"/>
  <c r="F171" i="1"/>
  <c r="B172" i="1"/>
  <c r="C172" i="1"/>
  <c r="D172" i="1"/>
  <c r="E172" i="1"/>
  <c r="F172" i="1"/>
  <c r="B173" i="1"/>
  <c r="C173" i="1"/>
  <c r="D173" i="1"/>
  <c r="E173" i="1"/>
  <c r="F173" i="1"/>
  <c r="B174" i="1"/>
  <c r="C174" i="1"/>
  <c r="D174" i="1"/>
  <c r="E174" i="1"/>
  <c r="F174" i="1"/>
  <c r="B175" i="1"/>
  <c r="C175" i="1"/>
  <c r="D175" i="1"/>
  <c r="E175" i="1"/>
  <c r="F175" i="1"/>
  <c r="B176" i="1"/>
  <c r="C176" i="1"/>
  <c r="D176" i="1"/>
  <c r="E176" i="1"/>
  <c r="F176" i="1"/>
  <c r="B177" i="1"/>
  <c r="C177" i="1"/>
  <c r="D177" i="1"/>
  <c r="E177" i="1"/>
  <c r="F177" i="1"/>
  <c r="B178" i="1"/>
  <c r="C178" i="1"/>
  <c r="D178" i="1"/>
  <c r="E178" i="1"/>
  <c r="F178" i="1"/>
  <c r="B179" i="1"/>
  <c r="C179" i="1"/>
  <c r="D179" i="1"/>
  <c r="E179" i="1"/>
  <c r="F179" i="1"/>
  <c r="B180" i="1"/>
  <c r="C180" i="1"/>
  <c r="D180" i="1"/>
  <c r="E180" i="1"/>
  <c r="F180" i="1"/>
  <c r="B181" i="1"/>
  <c r="C181" i="1"/>
  <c r="D181" i="1"/>
  <c r="E181" i="1"/>
  <c r="F181" i="1"/>
  <c r="B182" i="1"/>
  <c r="C182" i="1"/>
  <c r="D182" i="1"/>
  <c r="E182" i="1"/>
  <c r="F182" i="1"/>
  <c r="B183" i="1"/>
  <c r="C183" i="1"/>
  <c r="D183" i="1"/>
  <c r="E183" i="1"/>
  <c r="F183" i="1"/>
  <c r="B184" i="1"/>
  <c r="C184" i="1"/>
  <c r="D184" i="1"/>
  <c r="E184" i="1"/>
  <c r="F184" i="1"/>
  <c r="B185" i="1"/>
  <c r="C185" i="1"/>
  <c r="D185" i="1"/>
  <c r="E185" i="1"/>
  <c r="F185" i="1"/>
  <c r="B186" i="1"/>
  <c r="C186" i="1"/>
  <c r="D186" i="1"/>
  <c r="E186" i="1"/>
  <c r="F186" i="1"/>
  <c r="B187" i="1"/>
  <c r="C187" i="1"/>
  <c r="D187" i="1"/>
  <c r="E187" i="1"/>
  <c r="F187" i="1"/>
  <c r="B188" i="1"/>
  <c r="C188" i="1"/>
  <c r="D188" i="1"/>
  <c r="E188" i="1"/>
  <c r="F188" i="1"/>
  <c r="B189" i="1"/>
  <c r="C189" i="1"/>
  <c r="D189" i="1"/>
  <c r="E189" i="1"/>
  <c r="F189" i="1"/>
  <c r="B190" i="1"/>
  <c r="C190" i="1"/>
  <c r="D190" i="1"/>
  <c r="E190" i="1"/>
  <c r="F190" i="1"/>
  <c r="B191" i="1"/>
  <c r="C191" i="1"/>
  <c r="D191" i="1"/>
  <c r="E191" i="1"/>
  <c r="F191" i="1"/>
  <c r="B192" i="1"/>
  <c r="C192" i="1"/>
  <c r="D192" i="1"/>
  <c r="E192" i="1"/>
  <c r="F192" i="1"/>
  <c r="B193" i="1"/>
  <c r="C193" i="1"/>
  <c r="D193" i="1"/>
  <c r="E193" i="1"/>
  <c r="F193" i="1"/>
  <c r="B194" i="1"/>
  <c r="C194" i="1"/>
  <c r="D194" i="1"/>
  <c r="E194" i="1"/>
  <c r="F194" i="1"/>
  <c r="B195" i="1"/>
  <c r="C195" i="1"/>
  <c r="D195" i="1"/>
  <c r="E195" i="1"/>
  <c r="F195" i="1"/>
  <c r="B196" i="1"/>
  <c r="C196" i="1"/>
  <c r="D196" i="1"/>
  <c r="E196" i="1"/>
  <c r="F196" i="1"/>
  <c r="B197" i="1"/>
  <c r="C197" i="1"/>
  <c r="D197" i="1"/>
  <c r="E197" i="1"/>
  <c r="F197" i="1"/>
  <c r="B198" i="1"/>
  <c r="C198" i="1"/>
  <c r="D198" i="1"/>
  <c r="E198" i="1"/>
  <c r="F198" i="1"/>
  <c r="B199" i="1"/>
  <c r="C199" i="1"/>
  <c r="D199" i="1"/>
  <c r="E199" i="1"/>
  <c r="F199" i="1"/>
  <c r="B200" i="1"/>
  <c r="C200" i="1"/>
  <c r="D200" i="1"/>
  <c r="E200" i="1"/>
  <c r="F200" i="1"/>
  <c r="B201" i="1"/>
  <c r="C201" i="1"/>
  <c r="D201" i="1"/>
  <c r="E201" i="1"/>
  <c r="F201" i="1"/>
  <c r="B202" i="1"/>
  <c r="C202" i="1"/>
  <c r="D202" i="1"/>
  <c r="E202" i="1"/>
  <c r="F202" i="1"/>
  <c r="B203" i="1"/>
  <c r="C203" i="1"/>
  <c r="D203" i="1"/>
  <c r="E203" i="1"/>
  <c r="F203" i="1"/>
  <c r="B204" i="1"/>
  <c r="C204" i="1"/>
  <c r="D204" i="1"/>
  <c r="E204" i="1"/>
  <c r="F204" i="1"/>
  <c r="B205" i="1"/>
  <c r="C205" i="1"/>
  <c r="D205" i="1"/>
  <c r="E205" i="1"/>
  <c r="F205" i="1"/>
  <c r="B206" i="1"/>
  <c r="C206" i="1"/>
  <c r="D206" i="1"/>
  <c r="E206" i="1"/>
  <c r="F206" i="1"/>
  <c r="B207" i="1"/>
  <c r="C207" i="1"/>
  <c r="D207" i="1"/>
  <c r="E207" i="1"/>
  <c r="F207" i="1"/>
  <c r="B208" i="1"/>
  <c r="C208" i="1"/>
  <c r="D208" i="1"/>
  <c r="E208" i="1"/>
  <c r="F208" i="1"/>
  <c r="B209" i="1"/>
  <c r="C209" i="1"/>
  <c r="D209" i="1"/>
  <c r="E209" i="1"/>
  <c r="F209" i="1"/>
  <c r="B210" i="1"/>
  <c r="C210" i="1"/>
  <c r="D210" i="1"/>
  <c r="E210" i="1"/>
  <c r="F210" i="1"/>
  <c r="B211" i="1"/>
  <c r="C211" i="1"/>
  <c r="D211" i="1"/>
  <c r="E211" i="1"/>
  <c r="F211" i="1"/>
  <c r="B212" i="1"/>
  <c r="C212" i="1"/>
  <c r="D212" i="1"/>
  <c r="E212" i="1"/>
  <c r="F212" i="1"/>
  <c r="B213" i="1"/>
  <c r="C213" i="1"/>
  <c r="D213" i="1"/>
  <c r="E213" i="1"/>
  <c r="F213" i="1"/>
  <c r="B214" i="1"/>
  <c r="C214" i="1"/>
  <c r="D214" i="1"/>
  <c r="E214" i="1"/>
  <c r="F214" i="1"/>
  <c r="B215" i="1"/>
  <c r="C215" i="1"/>
  <c r="D215" i="1"/>
  <c r="E215" i="1"/>
  <c r="F215" i="1"/>
  <c r="B216" i="1"/>
  <c r="C216" i="1"/>
  <c r="D216" i="1"/>
  <c r="E216" i="1"/>
  <c r="F216" i="1"/>
  <c r="B217" i="1"/>
  <c r="C217" i="1"/>
  <c r="D217" i="1"/>
  <c r="E217" i="1"/>
  <c r="F217" i="1"/>
  <c r="B218" i="1"/>
  <c r="C218" i="1"/>
  <c r="D218" i="1"/>
  <c r="E218" i="1"/>
  <c r="F218" i="1"/>
  <c r="B219" i="1"/>
  <c r="C219" i="1"/>
  <c r="D219" i="1"/>
  <c r="E219" i="1"/>
  <c r="F219" i="1"/>
  <c r="B220" i="1"/>
  <c r="C220" i="1"/>
  <c r="D220" i="1"/>
  <c r="E220" i="1"/>
  <c r="F220" i="1"/>
  <c r="B221" i="1"/>
  <c r="C221" i="1"/>
  <c r="D221" i="1"/>
  <c r="E221" i="1"/>
  <c r="F221" i="1"/>
  <c r="B222" i="1"/>
  <c r="C222" i="1"/>
  <c r="D222" i="1"/>
  <c r="E222" i="1"/>
  <c r="F222" i="1"/>
  <c r="B223" i="1"/>
  <c r="C223" i="1"/>
  <c r="D223" i="1"/>
  <c r="E223" i="1"/>
  <c r="F223" i="1"/>
  <c r="B224" i="1"/>
  <c r="C224" i="1"/>
  <c r="D224" i="1"/>
  <c r="E224" i="1"/>
  <c r="F224" i="1"/>
  <c r="B225" i="1"/>
  <c r="C225" i="1"/>
  <c r="D225" i="1"/>
  <c r="E225" i="1"/>
  <c r="F225" i="1"/>
  <c r="B226" i="1"/>
  <c r="C226" i="1"/>
  <c r="D226" i="1"/>
  <c r="E226" i="1"/>
  <c r="F226" i="1"/>
  <c r="B227" i="1"/>
  <c r="C227" i="1"/>
  <c r="D227" i="1"/>
  <c r="E227" i="1"/>
  <c r="F227" i="1"/>
  <c r="B228" i="1"/>
  <c r="C228" i="1"/>
  <c r="D228" i="1"/>
  <c r="E228" i="1"/>
  <c r="F228" i="1"/>
  <c r="B229" i="1"/>
  <c r="C229" i="1"/>
  <c r="D229" i="1"/>
  <c r="E229" i="1"/>
  <c r="F229" i="1"/>
  <c r="B230" i="1"/>
  <c r="C230" i="1"/>
  <c r="D230" i="1"/>
  <c r="E230" i="1"/>
  <c r="F230" i="1"/>
  <c r="B231" i="1"/>
  <c r="C231" i="1"/>
  <c r="D231" i="1"/>
  <c r="E231" i="1"/>
  <c r="F231" i="1"/>
  <c r="B232" i="1"/>
  <c r="C232" i="1"/>
  <c r="D232" i="1"/>
  <c r="E232" i="1"/>
  <c r="F232" i="1"/>
  <c r="B233" i="1"/>
  <c r="C233" i="1"/>
  <c r="D233" i="1"/>
  <c r="E233" i="1"/>
  <c r="F233" i="1"/>
  <c r="B234" i="1"/>
  <c r="C234" i="1"/>
  <c r="D234" i="1"/>
  <c r="E234" i="1"/>
  <c r="F234" i="1"/>
  <c r="B235" i="1"/>
  <c r="C235" i="1"/>
  <c r="D235" i="1"/>
  <c r="E235" i="1"/>
  <c r="F235" i="1"/>
  <c r="B236" i="1"/>
  <c r="C236" i="1"/>
  <c r="D236" i="1"/>
  <c r="E236" i="1"/>
  <c r="F236" i="1"/>
  <c r="B237" i="1"/>
  <c r="C237" i="1"/>
  <c r="D237" i="1"/>
  <c r="E237" i="1"/>
  <c r="F237" i="1"/>
  <c r="B238" i="1"/>
  <c r="C238" i="1"/>
  <c r="D238" i="1"/>
  <c r="E238" i="1"/>
  <c r="F238" i="1"/>
  <c r="B239" i="1"/>
  <c r="C239" i="1"/>
  <c r="D239" i="1"/>
  <c r="E239" i="1"/>
  <c r="F239" i="1"/>
  <c r="B240" i="1"/>
  <c r="C240" i="1"/>
  <c r="D240" i="1"/>
  <c r="E240" i="1"/>
  <c r="F240" i="1"/>
  <c r="B241" i="1"/>
  <c r="C241" i="1"/>
  <c r="D241" i="1"/>
  <c r="E241" i="1"/>
  <c r="F241" i="1"/>
  <c r="B242" i="1"/>
  <c r="C242" i="1"/>
  <c r="D242" i="1"/>
  <c r="E242" i="1"/>
  <c r="F242" i="1"/>
  <c r="B243" i="1"/>
  <c r="C243" i="1"/>
  <c r="D243" i="1"/>
  <c r="E243" i="1"/>
  <c r="F243" i="1"/>
  <c r="B244" i="1"/>
  <c r="C244" i="1"/>
  <c r="D244" i="1"/>
  <c r="E244" i="1"/>
  <c r="F244" i="1"/>
  <c r="B245" i="1"/>
  <c r="C245" i="1"/>
  <c r="D245" i="1"/>
  <c r="E245" i="1"/>
  <c r="F245" i="1"/>
  <c r="B246" i="1"/>
  <c r="C246" i="1"/>
  <c r="D246" i="1"/>
  <c r="E246" i="1"/>
  <c r="F246" i="1"/>
  <c r="B247" i="1"/>
  <c r="C247" i="1"/>
  <c r="D247" i="1"/>
  <c r="E247" i="1"/>
  <c r="F247" i="1"/>
  <c r="B68" i="1"/>
  <c r="C68" i="1"/>
  <c r="D68" i="1"/>
  <c r="E68" i="1"/>
  <c r="F68" i="1"/>
  <c r="B69" i="1"/>
  <c r="C69" i="1"/>
  <c r="D69" i="1"/>
  <c r="E69" i="1"/>
  <c r="F69" i="1"/>
  <c r="B70" i="1"/>
  <c r="C70" i="1"/>
  <c r="D70" i="1"/>
  <c r="E70" i="1"/>
  <c r="F70" i="1"/>
  <c r="B71" i="1"/>
  <c r="C71" i="1"/>
  <c r="D71" i="1"/>
  <c r="E71" i="1"/>
  <c r="F71" i="1"/>
  <c r="B72" i="1"/>
  <c r="C72" i="1"/>
  <c r="D72" i="1"/>
  <c r="E72" i="1"/>
  <c r="F72" i="1"/>
  <c r="B73" i="1"/>
  <c r="C73" i="1"/>
  <c r="D73" i="1"/>
  <c r="E73" i="1"/>
  <c r="F73" i="1"/>
  <c r="B74" i="1"/>
  <c r="C74" i="1"/>
  <c r="D74" i="1"/>
  <c r="E74" i="1"/>
  <c r="F74" i="1"/>
  <c r="B75" i="1"/>
  <c r="C75" i="1"/>
  <c r="D75" i="1"/>
  <c r="E75" i="1"/>
  <c r="F75" i="1"/>
  <c r="B76" i="1"/>
  <c r="C76" i="1"/>
  <c r="D76" i="1"/>
  <c r="E76" i="1"/>
  <c r="F76" i="1"/>
  <c r="B77" i="1"/>
  <c r="C77" i="1"/>
  <c r="D77" i="1"/>
  <c r="E77" i="1"/>
  <c r="F77" i="1"/>
  <c r="B78" i="1"/>
  <c r="C78" i="1"/>
  <c r="D78" i="1"/>
  <c r="E78" i="1"/>
  <c r="F78" i="1"/>
  <c r="B79" i="1"/>
  <c r="C79" i="1"/>
  <c r="D79" i="1"/>
  <c r="E79" i="1"/>
  <c r="F79" i="1"/>
  <c r="B80" i="1"/>
  <c r="C80" i="1"/>
  <c r="D80" i="1"/>
  <c r="E80" i="1"/>
  <c r="F80" i="1"/>
  <c r="B81" i="1"/>
  <c r="C81" i="1"/>
  <c r="D81" i="1"/>
  <c r="E81" i="1"/>
  <c r="F81" i="1"/>
  <c r="B82" i="1"/>
  <c r="C82" i="1"/>
  <c r="D82" i="1"/>
  <c r="E82" i="1"/>
  <c r="F82" i="1"/>
  <c r="B83" i="1"/>
  <c r="C83" i="1"/>
  <c r="D83" i="1"/>
  <c r="E83" i="1"/>
  <c r="F83" i="1"/>
  <c r="B84" i="1"/>
  <c r="C84" i="1"/>
  <c r="D84" i="1"/>
  <c r="E84" i="1"/>
  <c r="F84" i="1"/>
  <c r="B85" i="1"/>
  <c r="C85" i="1"/>
  <c r="D85" i="1"/>
  <c r="E85" i="1"/>
  <c r="F85" i="1"/>
  <c r="B86" i="1"/>
  <c r="C86" i="1"/>
  <c r="D86" i="1"/>
  <c r="E86" i="1"/>
  <c r="F86" i="1"/>
  <c r="B87" i="1"/>
  <c r="C87" i="1"/>
  <c r="D87" i="1"/>
  <c r="E87" i="1"/>
  <c r="F87" i="1"/>
  <c r="B88" i="1"/>
  <c r="C88" i="1"/>
  <c r="D88" i="1"/>
  <c r="E88" i="1"/>
  <c r="F88" i="1"/>
  <c r="B89" i="1"/>
  <c r="C89" i="1"/>
  <c r="D89" i="1"/>
  <c r="E89" i="1"/>
  <c r="F89" i="1"/>
  <c r="B90" i="1"/>
  <c r="C90" i="1"/>
  <c r="D90" i="1"/>
  <c r="E90" i="1"/>
  <c r="F90" i="1"/>
  <c r="B91" i="1"/>
  <c r="C91" i="1"/>
  <c r="D91" i="1"/>
  <c r="E91" i="1"/>
  <c r="F91" i="1"/>
  <c r="B92" i="1"/>
  <c r="C92" i="1"/>
  <c r="D92" i="1"/>
  <c r="E92" i="1"/>
  <c r="F92" i="1"/>
  <c r="B93" i="1"/>
  <c r="C93" i="1"/>
  <c r="D93" i="1"/>
  <c r="E93" i="1"/>
  <c r="F93" i="1"/>
  <c r="B94" i="1"/>
  <c r="C94" i="1"/>
  <c r="D94" i="1"/>
  <c r="E94" i="1"/>
  <c r="F94" i="1"/>
  <c r="B95" i="1"/>
  <c r="C95" i="1"/>
  <c r="D95" i="1"/>
  <c r="E95" i="1"/>
  <c r="F95" i="1"/>
  <c r="B96" i="1"/>
  <c r="C96" i="1"/>
  <c r="D96" i="1"/>
  <c r="E96" i="1"/>
  <c r="F96" i="1"/>
  <c r="B97" i="1"/>
  <c r="C97" i="1"/>
  <c r="D97" i="1"/>
  <c r="E97" i="1"/>
  <c r="F97" i="1"/>
  <c r="B98" i="1"/>
  <c r="C98" i="1"/>
  <c r="D98" i="1"/>
  <c r="E98" i="1"/>
  <c r="F98" i="1"/>
  <c r="B99" i="1"/>
  <c r="C99" i="1"/>
  <c r="D99" i="1"/>
  <c r="E99" i="1"/>
  <c r="F99" i="1"/>
  <c r="B100" i="1"/>
  <c r="C100" i="1"/>
  <c r="D100" i="1"/>
  <c r="E100" i="1"/>
  <c r="F100" i="1"/>
  <c r="B101" i="1"/>
  <c r="C101" i="1"/>
  <c r="D101" i="1"/>
  <c r="E101" i="1"/>
  <c r="F101" i="1"/>
  <c r="B102" i="1"/>
  <c r="C102" i="1"/>
  <c r="D102" i="1"/>
  <c r="E102" i="1"/>
  <c r="F102" i="1"/>
  <c r="B103" i="1"/>
  <c r="C103" i="1"/>
  <c r="D103" i="1"/>
  <c r="E103" i="1"/>
  <c r="F103" i="1"/>
  <c r="B104" i="1"/>
  <c r="C104" i="1"/>
  <c r="D104" i="1"/>
  <c r="E104" i="1"/>
  <c r="F104" i="1"/>
  <c r="B105" i="1"/>
  <c r="C105" i="1"/>
  <c r="D105" i="1"/>
  <c r="E105" i="1"/>
  <c r="F105" i="1"/>
  <c r="B106" i="1"/>
  <c r="C106" i="1"/>
  <c r="D106" i="1"/>
  <c r="E106" i="1"/>
  <c r="F106" i="1"/>
  <c r="B107" i="1"/>
  <c r="C107" i="1"/>
  <c r="D107" i="1"/>
  <c r="E107" i="1"/>
  <c r="F107" i="1"/>
  <c r="B108" i="1"/>
  <c r="C108" i="1"/>
  <c r="D108" i="1"/>
  <c r="E108" i="1"/>
  <c r="F108" i="1"/>
  <c r="B109" i="1"/>
  <c r="C109" i="1"/>
  <c r="D109" i="1"/>
  <c r="E109" i="1"/>
  <c r="F109" i="1"/>
  <c r="B110" i="1"/>
  <c r="C110" i="1"/>
  <c r="D110" i="1"/>
  <c r="E110" i="1"/>
  <c r="F110" i="1"/>
  <c r="B111" i="1"/>
  <c r="C111" i="1"/>
  <c r="D111" i="1"/>
  <c r="E111" i="1"/>
  <c r="F111" i="1"/>
  <c r="B112" i="1"/>
  <c r="C112" i="1"/>
  <c r="D112" i="1"/>
  <c r="E112" i="1"/>
  <c r="F112" i="1"/>
  <c r="B113" i="1"/>
  <c r="C113" i="1"/>
  <c r="D113" i="1"/>
  <c r="E113" i="1"/>
  <c r="F113" i="1"/>
  <c r="B114" i="1"/>
  <c r="C114" i="1"/>
  <c r="D114" i="1"/>
  <c r="E114" i="1"/>
  <c r="F114" i="1"/>
  <c r="B115" i="1"/>
  <c r="C115" i="1"/>
  <c r="D115" i="1"/>
  <c r="E115" i="1"/>
  <c r="F115" i="1"/>
  <c r="B116" i="1"/>
  <c r="C116" i="1"/>
  <c r="D116" i="1"/>
  <c r="E116" i="1"/>
  <c r="F116" i="1"/>
  <c r="B117" i="1"/>
  <c r="C117" i="1"/>
  <c r="D117" i="1"/>
  <c r="E117" i="1"/>
  <c r="F117" i="1"/>
  <c r="B118" i="1"/>
  <c r="C118" i="1"/>
  <c r="D118" i="1"/>
  <c r="E118" i="1"/>
  <c r="F118" i="1"/>
  <c r="B119" i="1"/>
  <c r="C119" i="1"/>
  <c r="D119" i="1"/>
  <c r="E119" i="1"/>
  <c r="F119" i="1"/>
  <c r="B120" i="1"/>
  <c r="C120" i="1"/>
  <c r="D120" i="1"/>
  <c r="E120" i="1"/>
  <c r="F120" i="1"/>
  <c r="B121" i="1"/>
  <c r="C121" i="1"/>
  <c r="D121" i="1"/>
  <c r="E121" i="1"/>
  <c r="F121" i="1"/>
  <c r="B122" i="1"/>
  <c r="C122" i="1"/>
  <c r="D122" i="1"/>
  <c r="E122" i="1"/>
  <c r="F122" i="1"/>
  <c r="B123" i="1"/>
  <c r="C123" i="1"/>
  <c r="D123" i="1"/>
  <c r="E123" i="1"/>
  <c r="F123" i="1"/>
  <c r="B124" i="1"/>
  <c r="C124" i="1"/>
  <c r="D124" i="1"/>
  <c r="E124" i="1"/>
  <c r="F124" i="1"/>
  <c r="B125" i="1"/>
  <c r="C125" i="1"/>
  <c r="D125" i="1"/>
  <c r="E125" i="1"/>
  <c r="F125" i="1"/>
  <c r="B126" i="1"/>
  <c r="C126" i="1"/>
  <c r="D126" i="1"/>
  <c r="E126" i="1"/>
  <c r="F126" i="1"/>
  <c r="B127" i="1"/>
  <c r="C127" i="1"/>
  <c r="D127" i="1"/>
  <c r="E127" i="1"/>
  <c r="F127" i="1"/>
  <c r="B67" i="1"/>
  <c r="C67" i="1"/>
  <c r="D67" i="1"/>
  <c r="E67" i="1"/>
  <c r="F67" i="1"/>
  <c r="B21" i="1"/>
  <c r="C21" i="1"/>
  <c r="D21" i="1"/>
  <c r="E21" i="1"/>
  <c r="F21" i="1"/>
  <c r="B22" i="1"/>
  <c r="C22" i="1"/>
  <c r="D22" i="1"/>
  <c r="E22" i="1"/>
  <c r="F22" i="1"/>
  <c r="B23" i="1"/>
  <c r="C23" i="1"/>
  <c r="D23" i="1"/>
  <c r="E23" i="1"/>
  <c r="F23" i="1"/>
  <c r="B24" i="1"/>
  <c r="C24" i="1"/>
  <c r="D24" i="1"/>
  <c r="E24" i="1"/>
  <c r="F24" i="1"/>
  <c r="B25" i="1"/>
  <c r="C25" i="1"/>
  <c r="D25" i="1"/>
  <c r="E25" i="1"/>
  <c r="F25" i="1"/>
  <c r="B26" i="1"/>
  <c r="C26" i="1"/>
  <c r="D26" i="1"/>
  <c r="E26" i="1"/>
  <c r="F26" i="1"/>
  <c r="B27" i="1"/>
  <c r="C27" i="1"/>
  <c r="D27" i="1"/>
  <c r="E27" i="1"/>
  <c r="F27" i="1"/>
  <c r="B28" i="1"/>
  <c r="C28" i="1"/>
  <c r="D28" i="1"/>
  <c r="E28" i="1"/>
  <c r="F28" i="1"/>
  <c r="B29" i="1"/>
  <c r="C29" i="1"/>
  <c r="D29" i="1"/>
  <c r="E29" i="1"/>
  <c r="F29" i="1"/>
  <c r="B30" i="1"/>
  <c r="C30" i="1"/>
  <c r="D30" i="1"/>
  <c r="E30" i="1"/>
  <c r="F30" i="1"/>
  <c r="B31" i="1"/>
  <c r="C31" i="1"/>
  <c r="D31" i="1"/>
  <c r="E31" i="1"/>
  <c r="F31" i="1"/>
  <c r="B32" i="1"/>
  <c r="C32" i="1"/>
  <c r="D32" i="1"/>
  <c r="E32" i="1"/>
  <c r="F32" i="1"/>
  <c r="B33" i="1"/>
  <c r="C33" i="1"/>
  <c r="D33" i="1"/>
  <c r="E33" i="1"/>
  <c r="F33" i="1"/>
  <c r="B34" i="1"/>
  <c r="C34" i="1"/>
  <c r="D34" i="1"/>
  <c r="E34" i="1"/>
  <c r="F34" i="1"/>
  <c r="B35" i="1"/>
  <c r="C35" i="1"/>
  <c r="D35" i="1"/>
  <c r="E35" i="1"/>
  <c r="F35" i="1"/>
  <c r="B36" i="1"/>
  <c r="C36" i="1"/>
  <c r="D36" i="1"/>
  <c r="E36" i="1"/>
  <c r="F36" i="1"/>
  <c r="B37" i="1"/>
  <c r="C37" i="1"/>
  <c r="D37" i="1"/>
  <c r="E37" i="1"/>
  <c r="F37" i="1"/>
  <c r="B38" i="1"/>
  <c r="C38" i="1"/>
  <c r="D38" i="1"/>
  <c r="E38" i="1"/>
  <c r="F38" i="1"/>
  <c r="B39" i="1"/>
  <c r="C39" i="1"/>
  <c r="D39" i="1"/>
  <c r="E39" i="1"/>
  <c r="F39" i="1"/>
  <c r="B40" i="1"/>
  <c r="C40" i="1"/>
  <c r="D40" i="1"/>
  <c r="E40" i="1"/>
  <c r="F40" i="1"/>
  <c r="B41" i="1"/>
  <c r="C41" i="1"/>
  <c r="D41" i="1"/>
  <c r="E41" i="1"/>
  <c r="F41" i="1"/>
  <c r="B42" i="1"/>
  <c r="C42" i="1"/>
  <c r="D42" i="1"/>
  <c r="E42" i="1"/>
  <c r="F42" i="1"/>
  <c r="B43" i="1"/>
  <c r="C43" i="1"/>
  <c r="D43" i="1"/>
  <c r="E43" i="1"/>
  <c r="F43" i="1"/>
  <c r="B44" i="1"/>
  <c r="C44" i="1"/>
  <c r="D44" i="1"/>
  <c r="E44" i="1"/>
  <c r="F44" i="1"/>
  <c r="B45" i="1"/>
  <c r="C45" i="1"/>
  <c r="D45" i="1"/>
  <c r="E45" i="1"/>
  <c r="F45" i="1"/>
  <c r="B46" i="1"/>
  <c r="C46" i="1"/>
  <c r="D46" i="1"/>
  <c r="E46" i="1"/>
  <c r="F46" i="1"/>
  <c r="B47" i="1"/>
  <c r="C47" i="1"/>
  <c r="D47" i="1"/>
  <c r="E47" i="1"/>
  <c r="F47" i="1"/>
  <c r="B48" i="1"/>
  <c r="C48" i="1"/>
  <c r="D48" i="1"/>
  <c r="E48" i="1"/>
  <c r="F48" i="1"/>
  <c r="B49" i="1"/>
  <c r="C49" i="1"/>
  <c r="D49" i="1"/>
  <c r="E49" i="1"/>
  <c r="F49" i="1"/>
  <c r="B50" i="1"/>
  <c r="C50" i="1"/>
  <c r="D50" i="1"/>
  <c r="E50" i="1"/>
  <c r="F50" i="1"/>
  <c r="B51" i="1"/>
  <c r="C51" i="1"/>
  <c r="D51" i="1"/>
  <c r="E51" i="1"/>
  <c r="F51" i="1"/>
  <c r="B52" i="1"/>
  <c r="C52" i="1"/>
  <c r="D52" i="1"/>
  <c r="E52" i="1"/>
  <c r="F52" i="1"/>
  <c r="B53" i="1"/>
  <c r="C53" i="1"/>
  <c r="D53" i="1"/>
  <c r="E53" i="1"/>
  <c r="F53" i="1"/>
  <c r="B54" i="1"/>
  <c r="C54" i="1"/>
  <c r="D54" i="1"/>
  <c r="E54" i="1"/>
  <c r="F54" i="1"/>
  <c r="B55" i="1"/>
  <c r="C55" i="1"/>
  <c r="D55" i="1"/>
  <c r="E55" i="1"/>
  <c r="F55" i="1"/>
  <c r="B56" i="1"/>
  <c r="C56" i="1"/>
  <c r="D56" i="1"/>
  <c r="E56" i="1"/>
  <c r="F56" i="1"/>
  <c r="B57" i="1"/>
  <c r="C57" i="1"/>
  <c r="D57" i="1"/>
  <c r="E57" i="1"/>
  <c r="F57" i="1"/>
  <c r="B58" i="1"/>
  <c r="C58" i="1"/>
  <c r="D58" i="1"/>
  <c r="E58" i="1"/>
  <c r="F58" i="1"/>
  <c r="B59" i="1"/>
  <c r="C59" i="1"/>
  <c r="D59" i="1"/>
  <c r="E59" i="1"/>
  <c r="F59" i="1"/>
  <c r="B60" i="1"/>
  <c r="C60" i="1"/>
  <c r="D60" i="1"/>
  <c r="E60" i="1"/>
  <c r="F60" i="1"/>
  <c r="B61" i="1"/>
  <c r="C61" i="1"/>
  <c r="D61" i="1"/>
  <c r="E61" i="1"/>
  <c r="F61" i="1"/>
  <c r="B62" i="1"/>
  <c r="C62" i="1"/>
  <c r="D62" i="1"/>
  <c r="E62" i="1"/>
  <c r="F62" i="1"/>
  <c r="B63" i="1"/>
  <c r="C63" i="1"/>
  <c r="D63" i="1"/>
  <c r="E63" i="1"/>
  <c r="F63" i="1"/>
  <c r="B64" i="1"/>
  <c r="C64" i="1"/>
  <c r="D64" i="1"/>
  <c r="E64" i="1"/>
  <c r="F64" i="1"/>
  <c r="B65" i="1"/>
  <c r="C65" i="1"/>
  <c r="D65" i="1"/>
  <c r="E65" i="1"/>
  <c r="F65" i="1"/>
  <c r="B66" i="1"/>
  <c r="C66" i="1"/>
  <c r="D66" i="1"/>
  <c r="E66" i="1"/>
  <c r="F66" i="1"/>
  <c r="B9" i="1"/>
  <c r="B10" i="1"/>
  <c r="B11" i="1"/>
  <c r="B12" i="1"/>
  <c r="B13" i="1"/>
  <c r="B14" i="1"/>
  <c r="B15" i="1"/>
  <c r="B16" i="1"/>
  <c r="B17" i="1"/>
  <c r="B18" i="1"/>
  <c r="B19" i="1"/>
  <c r="B20" i="1"/>
  <c r="B8" i="1"/>
  <c r="E8" i="1"/>
  <c r="F8" i="1"/>
  <c r="C9" i="1"/>
  <c r="D9" i="1"/>
  <c r="E9" i="1"/>
  <c r="F9" i="1"/>
  <c r="C10" i="1"/>
  <c r="D10" i="1"/>
  <c r="E10" i="1"/>
  <c r="F10" i="1"/>
  <c r="C11" i="1"/>
  <c r="D11" i="1"/>
  <c r="E11" i="1"/>
  <c r="F11" i="1"/>
  <c r="C12" i="1"/>
  <c r="D12" i="1"/>
  <c r="E12" i="1"/>
  <c r="F12" i="1"/>
  <c r="C13" i="1"/>
  <c r="D13" i="1"/>
  <c r="E13" i="1"/>
  <c r="F13" i="1"/>
  <c r="C14" i="1"/>
  <c r="D14" i="1"/>
  <c r="E14" i="1"/>
  <c r="F14" i="1"/>
  <c r="C15" i="1"/>
  <c r="D15" i="1"/>
  <c r="E15" i="1"/>
  <c r="F15" i="1"/>
  <c r="C16" i="1"/>
  <c r="D16" i="1"/>
  <c r="E16" i="1"/>
  <c r="F16" i="1"/>
  <c r="C17" i="1"/>
  <c r="D17" i="1"/>
  <c r="E17" i="1"/>
  <c r="F17" i="1"/>
  <c r="C18" i="1"/>
  <c r="D18" i="1"/>
  <c r="E18" i="1"/>
  <c r="F18" i="1"/>
  <c r="C19" i="1"/>
  <c r="D19" i="1"/>
  <c r="E19" i="1"/>
  <c r="F19" i="1"/>
  <c r="C20" i="1"/>
  <c r="D20" i="1"/>
  <c r="E20" i="1"/>
  <c r="F20" i="1"/>
  <c r="D8" i="1"/>
  <c r="B3" i="1"/>
</calcChain>
</file>

<file path=xl/sharedStrings.xml><?xml version="1.0" encoding="utf-8"?>
<sst xmlns="http://schemas.openxmlformats.org/spreadsheetml/2006/main" count="11" uniqueCount="11">
  <si>
    <t>Salario Inicial</t>
  </si>
  <si>
    <t>Incremento Salarial Anual</t>
  </si>
  <si>
    <t>Mes No.</t>
  </si>
  <si>
    <t>Ingreso</t>
  </si>
  <si>
    <t>Saldo Inicial</t>
  </si>
  <si>
    <t>Intereses</t>
  </si>
  <si>
    <t>Interes de Ahorro Anual</t>
  </si>
  <si>
    <t>Interes de Ahorro Mensual</t>
  </si>
  <si>
    <t>Porcentaje de Ahorro</t>
  </si>
  <si>
    <t>Cuota de Ahorro</t>
  </si>
  <si>
    <t>Saldo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</si>
</sst>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6" formatCode="_-&quot;$&quot;\ * #,##0_-;\-&quot;$&quot;\ * #,##0_-;_-&quot;$&quot;\ * &quot;-&quot;??_-;_-@_-"/>
    <numFmt numFmtId="168" formatCode="0.00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166" fontId="0" fillId="0" borderId="0" xfId="1" applyNumberFormat="1" applyFont="1"/>
    <xf numFmtId="9" fontId="0" fillId="0" borderId="0" xfId="2" applyFont="1"/>
    <xf numFmtId="0" fontId="0" fillId="0" borderId="0" xfId="0" applyAlignment="1">
      <alignment wrapText="1"/>
    </xf>
    <xf numFmtId="168" fontId="0" fillId="0" borderId="0" xfId="2" applyNumberFormat="1" applyFont="1"/>
    <xf numFmtId="10" fontId="0" fillId="0" borderId="0" xfId="0" applyNumberFormat="1"/>
    <xf numFmtId="0" fontId="0" fillId="0" borderId="0" xfId="0" applyAlignment="1"/>
    <xf numFmtId="166" fontId="0" fillId="0" borderId="0" xfId="0" applyNumberFormat="1"/>
    <xf numFmtId="44" fontId="0" fillId="0" borderId="0" xfId="0" applyNumberFormat="1"/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78CF9-949D-447E-82CD-181C8B3C7840}">
  <dimension ref="A1:F257"/>
  <sheetViews>
    <sheetView tabSelected="1" topLeftCell="A237" workbookViewId="0">
      <selection activeCell="A127" sqref="A127:F247"/>
    </sheetView>
  </sheetViews>
  <sheetFormatPr baseColWidth="10" defaultRowHeight="14.4" x14ac:dyDescent="0.3"/>
  <cols>
    <col min="1" max="1" width="26.109375" customWidth="1"/>
    <col min="2" max="2" width="15.33203125" bestFit="1" customWidth="1"/>
    <col min="3" max="3" width="17.5546875" customWidth="1"/>
    <col min="5" max="5" width="14.5546875" customWidth="1"/>
    <col min="6" max="6" width="17.21875" customWidth="1"/>
  </cols>
  <sheetData>
    <row r="1" spans="1:6" x14ac:dyDescent="0.3">
      <c r="A1" s="6" t="s">
        <v>0</v>
      </c>
      <c r="B1" s="1">
        <v>3000000</v>
      </c>
    </row>
    <row r="2" spans="1:6" x14ac:dyDescent="0.3">
      <c r="A2" s="6" t="s">
        <v>6</v>
      </c>
      <c r="B2" s="2">
        <v>0.04</v>
      </c>
    </row>
    <row r="3" spans="1:6" x14ac:dyDescent="0.3">
      <c r="A3" s="6" t="s">
        <v>7</v>
      </c>
      <c r="B3" s="4">
        <f>(1+B2)^(1/12)-1</f>
        <v>3.2737397821989145E-3</v>
      </c>
    </row>
    <row r="4" spans="1:6" x14ac:dyDescent="0.3">
      <c r="A4" s="6" t="s">
        <v>8</v>
      </c>
      <c r="B4" s="5">
        <v>0.115</v>
      </c>
    </row>
    <row r="5" spans="1:6" x14ac:dyDescent="0.3">
      <c r="A5" s="6" t="s">
        <v>1</v>
      </c>
      <c r="B5" s="1">
        <v>300000</v>
      </c>
    </row>
    <row r="6" spans="1:6" x14ac:dyDescent="0.3">
      <c r="A6" s="3"/>
    </row>
    <row r="7" spans="1:6" x14ac:dyDescent="0.3">
      <c r="A7" s="3" t="s">
        <v>2</v>
      </c>
      <c r="B7" t="s">
        <v>3</v>
      </c>
      <c r="C7" t="s">
        <v>4</v>
      </c>
      <c r="D7" t="s">
        <v>5</v>
      </c>
      <c r="E7" t="s">
        <v>9</v>
      </c>
      <c r="F7" t="s">
        <v>10</v>
      </c>
    </row>
    <row r="8" spans="1:6" x14ac:dyDescent="0.3">
      <c r="A8" s="3">
        <v>1</v>
      </c>
      <c r="B8" s="7">
        <f>$B$1+($B$5*QUOTIENT(A8-1,12))</f>
        <v>3000000</v>
      </c>
      <c r="C8">
        <v>0</v>
      </c>
      <c r="D8">
        <f>C8*$B$3</f>
        <v>0</v>
      </c>
      <c r="E8" s="8">
        <f>B8*$B$4</f>
        <v>345000</v>
      </c>
      <c r="F8" s="8">
        <f>C8+D8+E8</f>
        <v>345000</v>
      </c>
    </row>
    <row r="9" spans="1:6" x14ac:dyDescent="0.3">
      <c r="A9" s="3">
        <v>2</v>
      </c>
      <c r="B9" s="7">
        <f t="shared" ref="B9:B72" si="0">$B$1+($B$5*QUOTIENT(A9-1,12))</f>
        <v>3000000</v>
      </c>
      <c r="C9" s="8">
        <f>F8</f>
        <v>345000</v>
      </c>
      <c r="D9">
        <f>C9*$B$3</f>
        <v>1129.4402248586255</v>
      </c>
      <c r="E9" s="8">
        <f>B9*$B$4</f>
        <v>345000</v>
      </c>
      <c r="F9" s="8">
        <f>C9+D9+E9</f>
        <v>691129.4402248587</v>
      </c>
    </row>
    <row r="10" spans="1:6" x14ac:dyDescent="0.3">
      <c r="A10" s="3">
        <v>3</v>
      </c>
      <c r="B10" s="7">
        <f t="shared" si="0"/>
        <v>3000000</v>
      </c>
      <c r="C10" s="8">
        <f t="shared" ref="C10:C20" si="1">F9</f>
        <v>691129.4402248587</v>
      </c>
      <c r="D10">
        <f t="shared" ref="D10:D73" si="2">C10*$B$3</f>
        <v>2262.5779431129868</v>
      </c>
      <c r="E10" s="8">
        <f t="shared" ref="E10:E20" si="3">B10*$B$4</f>
        <v>345000</v>
      </c>
      <c r="F10" s="8">
        <f t="shared" ref="F10:F20" si="4">C10+D10+E10</f>
        <v>1038392.0181679716</v>
      </c>
    </row>
    <row r="11" spans="1:6" x14ac:dyDescent="0.3">
      <c r="A11" s="3">
        <v>4</v>
      </c>
      <c r="B11" s="7">
        <f t="shared" si="0"/>
        <v>3000000</v>
      </c>
      <c r="C11" s="8">
        <f t="shared" si="1"/>
        <v>1038392.0181679716</v>
      </c>
      <c r="D11">
        <f t="shared" si="2"/>
        <v>3399.4252593943065</v>
      </c>
      <c r="E11" s="8">
        <f t="shared" si="3"/>
        <v>345000</v>
      </c>
      <c r="F11" s="8">
        <f t="shared" si="4"/>
        <v>1386791.443427366</v>
      </c>
    </row>
    <row r="12" spans="1:6" x14ac:dyDescent="0.3">
      <c r="A12" s="3">
        <v>5</v>
      </c>
      <c r="B12" s="7">
        <f t="shared" si="0"/>
        <v>3000000</v>
      </c>
      <c r="C12" s="8">
        <f t="shared" si="1"/>
        <v>1386791.443427366</v>
      </c>
      <c r="D12">
        <f t="shared" si="2"/>
        <v>4539.9943179612237</v>
      </c>
      <c r="E12" s="8">
        <f t="shared" si="3"/>
        <v>345000</v>
      </c>
      <c r="F12" s="8">
        <f t="shared" si="4"/>
        <v>1736331.4377453271</v>
      </c>
    </row>
    <row r="13" spans="1:6" x14ac:dyDescent="0.3">
      <c r="A13" s="3">
        <v>6</v>
      </c>
      <c r="B13" s="7">
        <f t="shared" si="0"/>
        <v>3000000</v>
      </c>
      <c r="C13" s="8">
        <f t="shared" si="1"/>
        <v>1736331.4377453271</v>
      </c>
      <c r="D13">
        <f t="shared" si="2"/>
        <v>5684.2973028295155</v>
      </c>
      <c r="E13" s="8">
        <f t="shared" si="3"/>
        <v>345000</v>
      </c>
      <c r="F13" s="8">
        <f t="shared" si="4"/>
        <v>2087015.7350481567</v>
      </c>
    </row>
    <row r="14" spans="1:6" x14ac:dyDescent="0.3">
      <c r="A14" s="3">
        <v>7</v>
      </c>
      <c r="B14" s="7">
        <f t="shared" si="0"/>
        <v>3000000</v>
      </c>
      <c r="C14" s="8">
        <f t="shared" si="1"/>
        <v>2087015.7350481567</v>
      </c>
      <c r="D14">
        <f t="shared" si="2"/>
        <v>6832.3464379022598</v>
      </c>
      <c r="E14" s="8">
        <f t="shared" si="3"/>
        <v>345000</v>
      </c>
      <c r="F14" s="8">
        <f t="shared" si="4"/>
        <v>2438848.0814860589</v>
      </c>
    </row>
    <row r="15" spans="1:6" x14ac:dyDescent="0.3">
      <c r="A15" s="3">
        <v>8</v>
      </c>
      <c r="B15" s="7">
        <f t="shared" si="0"/>
        <v>3000000</v>
      </c>
      <c r="C15" s="8">
        <f t="shared" si="1"/>
        <v>2438848.0814860589</v>
      </c>
      <c r="D15">
        <f t="shared" si="2"/>
        <v>7984.1539871004106</v>
      </c>
      <c r="E15" s="8">
        <f t="shared" si="3"/>
        <v>345000</v>
      </c>
      <c r="F15" s="8">
        <f t="shared" si="4"/>
        <v>2791832.2354731592</v>
      </c>
    </row>
    <row r="16" spans="1:6" x14ac:dyDescent="0.3">
      <c r="A16" s="3">
        <v>9</v>
      </c>
      <c r="B16" s="7">
        <f t="shared" si="0"/>
        <v>3000000</v>
      </c>
      <c r="C16" s="8">
        <f t="shared" si="1"/>
        <v>2791832.2354731592</v>
      </c>
      <c r="D16">
        <f t="shared" si="2"/>
        <v>9139.7322544938088</v>
      </c>
      <c r="E16" s="8">
        <f t="shared" si="3"/>
        <v>345000</v>
      </c>
      <c r="F16" s="8">
        <f t="shared" si="4"/>
        <v>3145971.9677276532</v>
      </c>
    </row>
    <row r="17" spans="1:6" x14ac:dyDescent="0.3">
      <c r="A17" s="3">
        <v>10</v>
      </c>
      <c r="B17" s="7">
        <f t="shared" si="0"/>
        <v>3000000</v>
      </c>
      <c r="C17" s="8">
        <f t="shared" si="1"/>
        <v>3145971.9677276532</v>
      </c>
      <c r="D17">
        <f t="shared" si="2"/>
        <v>10299.093584432618</v>
      </c>
      <c r="E17" s="8">
        <f t="shared" si="3"/>
        <v>345000</v>
      </c>
      <c r="F17" s="8">
        <f t="shared" si="4"/>
        <v>3501271.0613120859</v>
      </c>
    </row>
    <row r="18" spans="1:6" x14ac:dyDescent="0.3">
      <c r="A18" s="3">
        <v>11</v>
      </c>
      <c r="B18" s="7">
        <f t="shared" si="0"/>
        <v>3000000</v>
      </c>
      <c r="C18" s="8">
        <f t="shared" si="1"/>
        <v>3501271.0613120859</v>
      </c>
      <c r="D18">
        <f t="shared" si="2"/>
        <v>11462.250361679191</v>
      </c>
      <c r="E18" s="8">
        <f t="shared" si="3"/>
        <v>345000</v>
      </c>
      <c r="F18" s="8">
        <f t="shared" si="4"/>
        <v>3857733.3116737651</v>
      </c>
    </row>
    <row r="19" spans="1:6" x14ac:dyDescent="0.3">
      <c r="A19" s="3">
        <v>12</v>
      </c>
      <c r="B19" s="7">
        <f t="shared" si="0"/>
        <v>3000000</v>
      </c>
      <c r="C19" s="8">
        <f t="shared" si="1"/>
        <v>3857733.3116737651</v>
      </c>
      <c r="D19">
        <f t="shared" si="2"/>
        <v>12629.215011540369</v>
      </c>
      <c r="E19" s="8">
        <f t="shared" si="3"/>
        <v>345000</v>
      </c>
      <c r="F19" s="8">
        <f t="shared" si="4"/>
        <v>4215362.5266853049</v>
      </c>
    </row>
    <row r="20" spans="1:6" x14ac:dyDescent="0.3">
      <c r="A20" s="3">
        <v>13</v>
      </c>
      <c r="B20" s="7">
        <f t="shared" si="0"/>
        <v>3300000</v>
      </c>
      <c r="C20" s="8">
        <f t="shared" si="1"/>
        <v>4215362.5266853049</v>
      </c>
      <c r="D20">
        <f t="shared" si="2"/>
        <v>13800.000000000216</v>
      </c>
      <c r="E20" s="8">
        <f t="shared" si="3"/>
        <v>379500</v>
      </c>
      <c r="F20" s="8">
        <f t="shared" si="4"/>
        <v>4608662.5266853049</v>
      </c>
    </row>
    <row r="21" spans="1:6" x14ac:dyDescent="0.3">
      <c r="A21" s="3">
        <v>14</v>
      </c>
      <c r="B21" s="7">
        <f t="shared" si="0"/>
        <v>3300000</v>
      </c>
      <c r="C21" s="8">
        <f t="shared" ref="C21:C81" si="5">F20</f>
        <v>4608662.5266853049</v>
      </c>
      <c r="D21">
        <f t="shared" si="2"/>
        <v>15087.561856339049</v>
      </c>
      <c r="E21" s="8">
        <f t="shared" ref="E21:E81" si="6">B21*$B$4</f>
        <v>379500</v>
      </c>
      <c r="F21" s="8">
        <f t="shared" ref="F21:F81" si="7">C21+D21+E21</f>
        <v>5003250.0885416437</v>
      </c>
    </row>
    <row r="22" spans="1:6" x14ac:dyDescent="0.3">
      <c r="A22" s="3">
        <v>15</v>
      </c>
      <c r="B22" s="7">
        <f t="shared" si="0"/>
        <v>3300000</v>
      </c>
      <c r="C22" s="8">
        <f t="shared" si="5"/>
        <v>5003250.0885416437</v>
      </c>
      <c r="D22">
        <f t="shared" si="2"/>
        <v>16379.338855149021</v>
      </c>
      <c r="E22" s="8">
        <f t="shared" si="6"/>
        <v>379500</v>
      </c>
      <c r="F22" s="8">
        <f t="shared" si="7"/>
        <v>5399129.4273967929</v>
      </c>
    </row>
    <row r="23" spans="1:6" x14ac:dyDescent="0.3">
      <c r="A23" s="3">
        <v>16</v>
      </c>
      <c r="B23" s="7">
        <f t="shared" si="0"/>
        <v>3300000</v>
      </c>
      <c r="C23" s="8">
        <f t="shared" si="5"/>
        <v>5399129.4273967929</v>
      </c>
      <c r="D23">
        <f t="shared" si="2"/>
        <v>17675.344795709727</v>
      </c>
      <c r="E23" s="8">
        <f t="shared" si="6"/>
        <v>379500</v>
      </c>
      <c r="F23" s="8">
        <f t="shared" si="7"/>
        <v>5796304.7721925024</v>
      </c>
    </row>
    <row r="24" spans="1:6" x14ac:dyDescent="0.3">
      <c r="A24" s="3">
        <v>17</v>
      </c>
      <c r="B24" s="7">
        <f t="shared" si="0"/>
        <v>3300000</v>
      </c>
      <c r="C24" s="8">
        <f t="shared" si="5"/>
        <v>5796304.7721925024</v>
      </c>
      <c r="D24">
        <f t="shared" si="2"/>
        <v>18975.593522476011</v>
      </c>
      <c r="E24" s="8">
        <f t="shared" si="6"/>
        <v>379500</v>
      </c>
      <c r="F24" s="8">
        <f t="shared" si="7"/>
        <v>6194780.3657149784</v>
      </c>
    </row>
    <row r="25" spans="1:6" x14ac:dyDescent="0.3">
      <c r="A25" s="3">
        <v>18</v>
      </c>
      <c r="B25" s="7">
        <f t="shared" si="0"/>
        <v>3300000</v>
      </c>
      <c r="C25" s="8">
        <f t="shared" si="5"/>
        <v>6194780.3657149784</v>
      </c>
      <c r="D25">
        <f t="shared" si="2"/>
        <v>20280.098925225866</v>
      </c>
      <c r="E25" s="8">
        <f t="shared" si="6"/>
        <v>379500</v>
      </c>
      <c r="F25" s="8">
        <f t="shared" si="7"/>
        <v>6594560.4646402039</v>
      </c>
    </row>
    <row r="26" spans="1:6" x14ac:dyDescent="0.3">
      <c r="A26" s="3">
        <v>19</v>
      </c>
      <c r="B26" s="7">
        <f t="shared" si="0"/>
        <v>3300000</v>
      </c>
      <c r="C26" s="8">
        <f t="shared" si="5"/>
        <v>6594560.4646402039</v>
      </c>
      <c r="D26">
        <f t="shared" si="2"/>
        <v>21588.874939208792</v>
      </c>
      <c r="E26" s="8">
        <f t="shared" si="6"/>
        <v>379500</v>
      </c>
      <c r="F26" s="8">
        <f t="shared" si="7"/>
        <v>6995649.3395794127</v>
      </c>
    </row>
    <row r="27" spans="1:6" x14ac:dyDescent="0.3">
      <c r="A27" s="3">
        <v>20</v>
      </c>
      <c r="B27" s="7">
        <f t="shared" si="0"/>
        <v>3300000</v>
      </c>
      <c r="C27" s="8">
        <f t="shared" si="5"/>
        <v>6995649.3395794127</v>
      </c>
      <c r="D27">
        <f t="shared" si="2"/>
        <v>22901.935545294687</v>
      </c>
      <c r="E27" s="8">
        <f t="shared" si="6"/>
        <v>379500</v>
      </c>
      <c r="F27" s="8">
        <f t="shared" si="7"/>
        <v>7398051.2751247073</v>
      </c>
    </row>
    <row r="28" spans="1:6" x14ac:dyDescent="0.3">
      <c r="A28" s="3">
        <v>21</v>
      </c>
      <c r="B28" s="7">
        <f t="shared" si="0"/>
        <v>3300000</v>
      </c>
      <c r="C28" s="8">
        <f t="shared" si="5"/>
        <v>7398051.2751247073</v>
      </c>
      <c r="D28">
        <f t="shared" si="2"/>
        <v>24219.294770123161</v>
      </c>
      <c r="E28" s="8">
        <f t="shared" si="6"/>
        <v>379500</v>
      </c>
      <c r="F28" s="8">
        <f t="shared" si="7"/>
        <v>7801770.5698948307</v>
      </c>
    </row>
    <row r="29" spans="1:6" x14ac:dyDescent="0.3">
      <c r="A29" s="3">
        <v>22</v>
      </c>
      <c r="B29" s="7">
        <f t="shared" si="0"/>
        <v>3300000</v>
      </c>
      <c r="C29" s="8">
        <f t="shared" si="5"/>
        <v>7801770.5698948307</v>
      </c>
      <c r="D29">
        <f t="shared" si="2"/>
        <v>25540.966686253403</v>
      </c>
      <c r="E29" s="8">
        <f t="shared" si="6"/>
        <v>379500</v>
      </c>
      <c r="F29" s="8">
        <f t="shared" si="7"/>
        <v>8206811.5365810841</v>
      </c>
    </row>
    <row r="30" spans="1:6" x14ac:dyDescent="0.3">
      <c r="A30" s="3">
        <v>23</v>
      </c>
      <c r="B30" s="7">
        <f t="shared" si="0"/>
        <v>3300000</v>
      </c>
      <c r="C30" s="8">
        <f t="shared" si="5"/>
        <v>8206811.5365810841</v>
      </c>
      <c r="D30">
        <f t="shared" si="2"/>
        <v>26866.965412314497</v>
      </c>
      <c r="E30" s="8">
        <f t="shared" si="6"/>
        <v>379500</v>
      </c>
      <c r="F30" s="8">
        <f t="shared" si="7"/>
        <v>8613178.5019933991</v>
      </c>
    </row>
    <row r="31" spans="1:6" x14ac:dyDescent="0.3">
      <c r="A31" s="3">
        <v>24</v>
      </c>
      <c r="B31" s="7">
        <f t="shared" si="0"/>
        <v>3300000</v>
      </c>
      <c r="C31" s="8">
        <f t="shared" si="5"/>
        <v>8613178.5019933991</v>
      </c>
      <c r="D31">
        <f t="shared" si="2"/>
        <v>28197.305113156242</v>
      </c>
      <c r="E31" s="8">
        <f t="shared" si="6"/>
        <v>379500</v>
      </c>
      <c r="F31" s="8">
        <f t="shared" si="7"/>
        <v>9020875.8071065545</v>
      </c>
    </row>
    <row r="32" spans="1:6" x14ac:dyDescent="0.3">
      <c r="A32" s="3">
        <v>25</v>
      </c>
      <c r="B32" s="7">
        <f t="shared" si="0"/>
        <v>3600000</v>
      </c>
      <c r="C32" s="8">
        <f t="shared" si="5"/>
        <v>9020875.8071065545</v>
      </c>
      <c r="D32">
        <f t="shared" si="2"/>
        <v>29532.000000000469</v>
      </c>
      <c r="E32" s="8">
        <f t="shared" si="6"/>
        <v>414000</v>
      </c>
      <c r="F32" s="8">
        <f t="shared" si="7"/>
        <v>9464407.8071065545</v>
      </c>
    </row>
    <row r="33" spans="1:6" x14ac:dyDescent="0.3">
      <c r="A33" s="3">
        <v>26</v>
      </c>
      <c r="B33" s="7">
        <f t="shared" si="0"/>
        <v>3600000</v>
      </c>
      <c r="C33" s="8">
        <f t="shared" si="5"/>
        <v>9464407.8071065545</v>
      </c>
      <c r="D33">
        <f t="shared" si="2"/>
        <v>30984.008353078716</v>
      </c>
      <c r="E33" s="8">
        <f t="shared" si="6"/>
        <v>414000</v>
      </c>
      <c r="F33" s="8">
        <f t="shared" si="7"/>
        <v>9909391.8154596332</v>
      </c>
    </row>
    <row r="34" spans="1:6" x14ac:dyDescent="0.3">
      <c r="A34" s="3">
        <v>27</v>
      </c>
      <c r="B34" s="7">
        <f t="shared" si="0"/>
        <v>3600000</v>
      </c>
      <c r="C34" s="8">
        <f t="shared" si="5"/>
        <v>9909391.8154596332</v>
      </c>
      <c r="D34">
        <f t="shared" si="2"/>
        <v>32440.770203666525</v>
      </c>
      <c r="E34" s="8">
        <f t="shared" si="6"/>
        <v>414000</v>
      </c>
      <c r="F34" s="8">
        <f t="shared" si="7"/>
        <v>10355832.5856633</v>
      </c>
    </row>
    <row r="35" spans="1:6" x14ac:dyDescent="0.3">
      <c r="A35" s="3">
        <v>28</v>
      </c>
      <c r="B35" s="7">
        <f t="shared" si="0"/>
        <v>3600000</v>
      </c>
      <c r="C35" s="8">
        <f t="shared" si="5"/>
        <v>10355832.5856633</v>
      </c>
      <c r="D35">
        <f t="shared" si="2"/>
        <v>33902.301113477792</v>
      </c>
      <c r="E35" s="8">
        <f t="shared" si="6"/>
        <v>414000</v>
      </c>
      <c r="F35" s="8">
        <f t="shared" si="7"/>
        <v>10803734.886776777</v>
      </c>
    </row>
    <row r="36" spans="1:6" x14ac:dyDescent="0.3">
      <c r="A36" s="3">
        <v>29</v>
      </c>
      <c r="B36" s="7">
        <f t="shared" si="0"/>
        <v>3600000</v>
      </c>
      <c r="C36" s="8">
        <f t="shared" si="5"/>
        <v>10803734.886776777</v>
      </c>
      <c r="D36">
        <f t="shared" si="2"/>
        <v>35368.616695171419</v>
      </c>
      <c r="E36" s="8">
        <f t="shared" si="6"/>
        <v>414000</v>
      </c>
      <c r="F36" s="8">
        <f t="shared" si="7"/>
        <v>11253103.503471948</v>
      </c>
    </row>
    <row r="37" spans="1:6" x14ac:dyDescent="0.3">
      <c r="A37" s="3">
        <v>30</v>
      </c>
      <c r="B37" s="7">
        <f t="shared" si="0"/>
        <v>3600000</v>
      </c>
      <c r="C37" s="8">
        <f t="shared" si="5"/>
        <v>11253103.503471948</v>
      </c>
      <c r="D37">
        <f t="shared" si="2"/>
        <v>36839.732612518099</v>
      </c>
      <c r="E37" s="8">
        <f t="shared" si="6"/>
        <v>414000</v>
      </c>
      <c r="F37" s="8">
        <f t="shared" si="7"/>
        <v>11703943.236084467</v>
      </c>
    </row>
    <row r="38" spans="1:6" x14ac:dyDescent="0.3">
      <c r="A38" s="3">
        <v>31</v>
      </c>
      <c r="B38" s="7">
        <f t="shared" si="0"/>
        <v>3600000</v>
      </c>
      <c r="C38" s="8">
        <f t="shared" si="5"/>
        <v>11703943.236084467</v>
      </c>
      <c r="D38">
        <f t="shared" si="2"/>
        <v>38315.664580567623</v>
      </c>
      <c r="E38" s="8">
        <f t="shared" si="6"/>
        <v>414000</v>
      </c>
      <c r="F38" s="8">
        <f t="shared" si="7"/>
        <v>12156258.900665034</v>
      </c>
    </row>
    <row r="39" spans="1:6" x14ac:dyDescent="0.3">
      <c r="A39" s="3">
        <v>32</v>
      </c>
      <c r="B39" s="7">
        <f t="shared" si="0"/>
        <v>3600000</v>
      </c>
      <c r="C39" s="8">
        <f t="shared" si="5"/>
        <v>12156258.900665034</v>
      </c>
      <c r="D39">
        <f t="shared" si="2"/>
        <v>39796.428365816762</v>
      </c>
      <c r="E39" s="8">
        <f t="shared" si="6"/>
        <v>414000</v>
      </c>
      <c r="F39" s="8">
        <f t="shared" si="7"/>
        <v>12610055.329030851</v>
      </c>
    </row>
    <row r="40" spans="1:6" x14ac:dyDescent="0.3">
      <c r="A40" s="3">
        <v>33</v>
      </c>
      <c r="B40" s="7">
        <f t="shared" si="0"/>
        <v>3600000</v>
      </c>
      <c r="C40" s="8">
        <f t="shared" si="5"/>
        <v>12610055.329030851</v>
      </c>
      <c r="D40">
        <f t="shared" si="2"/>
        <v>41282.039786377718</v>
      </c>
      <c r="E40" s="8">
        <f t="shared" si="6"/>
        <v>414000</v>
      </c>
      <c r="F40" s="8">
        <f t="shared" si="7"/>
        <v>13065337.368817229</v>
      </c>
    </row>
    <row r="41" spans="1:6" x14ac:dyDescent="0.3">
      <c r="A41" s="3">
        <v>34</v>
      </c>
      <c r="B41" s="7">
        <f t="shared" si="0"/>
        <v>3600000</v>
      </c>
      <c r="C41" s="8">
        <f t="shared" si="5"/>
        <v>13065337.368817229</v>
      </c>
      <c r="D41">
        <f t="shared" si="2"/>
        <v>42772.514712147051</v>
      </c>
      <c r="E41" s="8">
        <f t="shared" si="6"/>
        <v>414000</v>
      </c>
      <c r="F41" s="8">
        <f t="shared" si="7"/>
        <v>13522109.883529376</v>
      </c>
    </row>
    <row r="42" spans="1:6" x14ac:dyDescent="0.3">
      <c r="A42" s="3">
        <v>35</v>
      </c>
      <c r="B42" s="7">
        <f t="shared" si="0"/>
        <v>3600000</v>
      </c>
      <c r="C42" s="8">
        <f t="shared" si="5"/>
        <v>13522109.883529376</v>
      </c>
      <c r="D42">
        <f t="shared" si="2"/>
        <v>44267.869064975246</v>
      </c>
      <c r="E42" s="8">
        <f t="shared" si="6"/>
        <v>414000</v>
      </c>
      <c r="F42" s="8">
        <f t="shared" si="7"/>
        <v>13980377.752594352</v>
      </c>
    </row>
    <row r="43" spans="1:6" x14ac:dyDescent="0.3">
      <c r="A43" s="3">
        <v>36</v>
      </c>
      <c r="B43" s="7">
        <f t="shared" si="0"/>
        <v>3600000</v>
      </c>
      <c r="C43" s="8">
        <f t="shared" si="5"/>
        <v>13980377.752594352</v>
      </c>
      <c r="D43">
        <f t="shared" si="2"/>
        <v>45768.118818836781</v>
      </c>
      <c r="E43" s="8">
        <f t="shared" si="6"/>
        <v>414000</v>
      </c>
      <c r="F43" s="8">
        <f t="shared" si="7"/>
        <v>14440145.871413188</v>
      </c>
    </row>
    <row r="44" spans="1:6" x14ac:dyDescent="0.3">
      <c r="A44" s="3">
        <v>37</v>
      </c>
      <c r="B44" s="7">
        <f t="shared" si="0"/>
        <v>3900000</v>
      </c>
      <c r="C44" s="8">
        <f t="shared" si="5"/>
        <v>14440145.871413188</v>
      </c>
      <c r="D44">
        <f t="shared" si="2"/>
        <v>47273.280000000763</v>
      </c>
      <c r="E44" s="8">
        <f t="shared" si="6"/>
        <v>448500</v>
      </c>
      <c r="F44" s="8">
        <f t="shared" si="7"/>
        <v>14935919.151413189</v>
      </c>
    </row>
    <row r="45" spans="1:6" x14ac:dyDescent="0.3">
      <c r="A45" s="3">
        <v>38</v>
      </c>
      <c r="B45" s="7">
        <f t="shared" si="0"/>
        <v>3900000</v>
      </c>
      <c r="C45" s="8">
        <f t="shared" si="5"/>
        <v>14935919.151413189</v>
      </c>
      <c r="D45">
        <f t="shared" si="2"/>
        <v>48896.312709688013</v>
      </c>
      <c r="E45" s="8">
        <f t="shared" si="6"/>
        <v>448500</v>
      </c>
      <c r="F45" s="8">
        <f t="shared" si="7"/>
        <v>15433315.464122877</v>
      </c>
    </row>
    <row r="46" spans="1:6" x14ac:dyDescent="0.3">
      <c r="A46" s="3">
        <v>39</v>
      </c>
      <c r="B46" s="7">
        <f t="shared" si="0"/>
        <v>3900000</v>
      </c>
      <c r="C46" s="8">
        <f t="shared" si="5"/>
        <v>15433315.464122877</v>
      </c>
      <c r="D46">
        <f t="shared" si="2"/>
        <v>50524.658806124768</v>
      </c>
      <c r="E46" s="8">
        <f t="shared" si="6"/>
        <v>448500</v>
      </c>
      <c r="F46" s="8">
        <f t="shared" si="7"/>
        <v>15932340.122929001</v>
      </c>
    </row>
    <row r="47" spans="1:6" x14ac:dyDescent="0.3">
      <c r="A47" s="3">
        <v>40</v>
      </c>
      <c r="B47" s="7">
        <f t="shared" si="0"/>
        <v>3900000</v>
      </c>
      <c r="C47" s="8">
        <f t="shared" si="5"/>
        <v>15932340.122929001</v>
      </c>
      <c r="D47">
        <f t="shared" si="2"/>
        <v>52158.335683956611</v>
      </c>
      <c r="E47" s="8">
        <f t="shared" si="6"/>
        <v>448500</v>
      </c>
      <c r="F47" s="8">
        <f t="shared" si="7"/>
        <v>16432998.458612958</v>
      </c>
    </row>
    <row r="48" spans="1:6" x14ac:dyDescent="0.3">
      <c r="A48" s="3">
        <v>41</v>
      </c>
      <c r="B48" s="7">
        <f t="shared" si="0"/>
        <v>3900000</v>
      </c>
      <c r="C48" s="8">
        <f t="shared" si="5"/>
        <v>16432998.458612958</v>
      </c>
      <c r="D48">
        <f t="shared" si="2"/>
        <v>53797.360794774686</v>
      </c>
      <c r="E48" s="8">
        <f t="shared" si="6"/>
        <v>448500</v>
      </c>
      <c r="F48" s="8">
        <f t="shared" si="7"/>
        <v>16935295.819407731</v>
      </c>
    </row>
    <row r="49" spans="1:6" x14ac:dyDescent="0.3">
      <c r="A49" s="3">
        <v>42</v>
      </c>
      <c r="B49" s="7">
        <f t="shared" si="0"/>
        <v>3900000</v>
      </c>
      <c r="C49" s="8">
        <f t="shared" si="5"/>
        <v>16935295.819407731</v>
      </c>
      <c r="D49">
        <f t="shared" si="2"/>
        <v>55441.751647302051</v>
      </c>
      <c r="E49" s="8">
        <f t="shared" si="6"/>
        <v>448500</v>
      </c>
      <c r="F49" s="8">
        <f t="shared" si="7"/>
        <v>17439237.571055032</v>
      </c>
    </row>
    <row r="50" spans="1:6" x14ac:dyDescent="0.3">
      <c r="A50" s="3">
        <v>43</v>
      </c>
      <c r="B50" s="7">
        <f t="shared" si="0"/>
        <v>3900000</v>
      </c>
      <c r="C50" s="8">
        <f t="shared" si="5"/>
        <v>17439237.571055032</v>
      </c>
      <c r="D50">
        <f t="shared" si="2"/>
        <v>57091.525807580831</v>
      </c>
      <c r="E50" s="8">
        <f t="shared" si="6"/>
        <v>448500</v>
      </c>
      <c r="F50" s="8">
        <f t="shared" si="7"/>
        <v>17944829.096862614</v>
      </c>
    </row>
    <row r="51" spans="1:6" x14ac:dyDescent="0.3">
      <c r="A51" s="3">
        <v>44</v>
      </c>
      <c r="B51" s="7">
        <f t="shared" si="0"/>
        <v>3900000</v>
      </c>
      <c r="C51" s="8">
        <f t="shared" si="5"/>
        <v>17944829.096862614</v>
      </c>
      <c r="D51">
        <f t="shared" si="2"/>
        <v>58746.700899159761</v>
      </c>
      <c r="E51" s="8">
        <f t="shared" si="6"/>
        <v>448500</v>
      </c>
      <c r="F51" s="8">
        <f t="shared" si="7"/>
        <v>18452075.797761776</v>
      </c>
    </row>
    <row r="52" spans="1:6" x14ac:dyDescent="0.3">
      <c r="A52" s="3">
        <v>45</v>
      </c>
      <c r="B52" s="7">
        <f t="shared" si="0"/>
        <v>3900000</v>
      </c>
      <c r="C52" s="8">
        <f t="shared" si="5"/>
        <v>18452075.797761776</v>
      </c>
      <c r="D52">
        <f t="shared" si="2"/>
        <v>60407.294603282498</v>
      </c>
      <c r="E52" s="8">
        <f t="shared" si="6"/>
        <v>448500</v>
      </c>
      <c r="F52" s="8">
        <f t="shared" si="7"/>
        <v>18960983.092365056</v>
      </c>
    </row>
    <row r="53" spans="1:6" x14ac:dyDescent="0.3">
      <c r="A53" s="3">
        <v>46</v>
      </c>
      <c r="B53" s="7">
        <f t="shared" si="0"/>
        <v>3900000</v>
      </c>
      <c r="C53" s="8">
        <f t="shared" si="5"/>
        <v>18960983.092365056</v>
      </c>
      <c r="D53">
        <f t="shared" si="2"/>
        <v>62073.324659076483</v>
      </c>
      <c r="E53" s="8">
        <f t="shared" si="6"/>
        <v>448500</v>
      </c>
      <c r="F53" s="8">
        <f t="shared" si="7"/>
        <v>19471556.417024132</v>
      </c>
    </row>
    <row r="54" spans="1:6" x14ac:dyDescent="0.3">
      <c r="A54" s="3">
        <v>47</v>
      </c>
      <c r="B54" s="7">
        <f t="shared" si="0"/>
        <v>3900000</v>
      </c>
      <c r="C54" s="8">
        <f t="shared" si="5"/>
        <v>19471556.417024132</v>
      </c>
      <c r="D54">
        <f t="shared" si="2"/>
        <v>63744.808863742459</v>
      </c>
      <c r="E54" s="8">
        <f t="shared" si="6"/>
        <v>448500</v>
      </c>
      <c r="F54" s="8">
        <f t="shared" si="7"/>
        <v>19983801.225887876</v>
      </c>
    </row>
    <row r="55" spans="1:6" x14ac:dyDescent="0.3">
      <c r="A55" s="3">
        <v>48</v>
      </c>
      <c r="B55" s="7">
        <f t="shared" si="0"/>
        <v>3900000</v>
      </c>
      <c r="C55" s="8">
        <f t="shared" si="5"/>
        <v>19983801.225887876</v>
      </c>
      <c r="D55">
        <f t="shared" si="2"/>
        <v>65421.765072744573</v>
      </c>
      <c r="E55" s="8">
        <f t="shared" si="6"/>
        <v>448500</v>
      </c>
      <c r="F55" s="8">
        <f t="shared" si="7"/>
        <v>20497722.99096062</v>
      </c>
    </row>
    <row r="56" spans="1:6" x14ac:dyDescent="0.3">
      <c r="A56" s="3">
        <v>49</v>
      </c>
      <c r="B56" s="7">
        <f t="shared" si="0"/>
        <v>4200000</v>
      </c>
      <c r="C56" s="8">
        <f t="shared" si="5"/>
        <v>20497722.99096062</v>
      </c>
      <c r="D56">
        <f t="shared" si="2"/>
        <v>67104.211200001097</v>
      </c>
      <c r="E56" s="8">
        <f t="shared" si="6"/>
        <v>483000</v>
      </c>
      <c r="F56" s="8">
        <f t="shared" si="7"/>
        <v>21047827.202160623</v>
      </c>
    </row>
    <row r="57" spans="1:6" x14ac:dyDescent="0.3">
      <c r="A57" s="3">
        <v>50</v>
      </c>
      <c r="B57" s="7">
        <f t="shared" si="0"/>
        <v>4200000</v>
      </c>
      <c r="C57" s="8">
        <f t="shared" si="5"/>
        <v>21047827.202160623</v>
      </c>
      <c r="D57">
        <f t="shared" si="2"/>
        <v>68905.109240561709</v>
      </c>
      <c r="E57" s="8">
        <f t="shared" si="6"/>
        <v>483000</v>
      </c>
      <c r="F57" s="8">
        <f t="shared" si="7"/>
        <v>21599732.311401185</v>
      </c>
    </row>
    <row r="58" spans="1:6" x14ac:dyDescent="0.3">
      <c r="A58" s="3">
        <v>51</v>
      </c>
      <c r="B58" s="7">
        <f t="shared" si="0"/>
        <v>4200000</v>
      </c>
      <c r="C58" s="8">
        <f t="shared" si="5"/>
        <v>21599732.311401185</v>
      </c>
      <c r="D58">
        <f t="shared" si="2"/>
        <v>70711.902952681368</v>
      </c>
      <c r="E58" s="8">
        <f t="shared" si="6"/>
        <v>483000</v>
      </c>
      <c r="F58" s="8">
        <f t="shared" si="7"/>
        <v>22153444.214353867</v>
      </c>
    </row>
    <row r="59" spans="1:6" x14ac:dyDescent="0.3">
      <c r="A59" s="3">
        <v>52</v>
      </c>
      <c r="B59" s="7">
        <f t="shared" si="0"/>
        <v>4200000</v>
      </c>
      <c r="C59" s="8">
        <f t="shared" si="5"/>
        <v>22153444.214353867</v>
      </c>
      <c r="D59">
        <f t="shared" si="2"/>
        <v>72524.611637254624</v>
      </c>
      <c r="E59" s="8">
        <f t="shared" si="6"/>
        <v>483000</v>
      </c>
      <c r="F59" s="8">
        <f t="shared" si="7"/>
        <v>22708968.82599112</v>
      </c>
    </row>
    <row r="60" spans="1:6" x14ac:dyDescent="0.3">
      <c r="A60" s="3">
        <v>53</v>
      </c>
      <c r="B60" s="7">
        <f t="shared" si="0"/>
        <v>4200000</v>
      </c>
      <c r="C60" s="8">
        <f t="shared" si="5"/>
        <v>22708968.82599112</v>
      </c>
      <c r="D60">
        <f t="shared" si="2"/>
        <v>74343.254658362115</v>
      </c>
      <c r="E60" s="8">
        <f t="shared" si="6"/>
        <v>483000</v>
      </c>
      <c r="F60" s="8">
        <f t="shared" si="7"/>
        <v>23266312.080649484</v>
      </c>
    </row>
    <row r="61" spans="1:6" x14ac:dyDescent="0.3">
      <c r="A61" s="3">
        <v>54</v>
      </c>
      <c r="B61" s="7">
        <f t="shared" si="0"/>
        <v>4200000</v>
      </c>
      <c r="C61" s="8">
        <f t="shared" si="5"/>
        <v>23266312.080649484</v>
      </c>
      <c r="D61">
        <f t="shared" si="2"/>
        <v>76167.851443477412</v>
      </c>
      <c r="E61" s="8">
        <f t="shared" si="6"/>
        <v>483000</v>
      </c>
      <c r="F61" s="8">
        <f t="shared" si="7"/>
        <v>23825479.932092961</v>
      </c>
    </row>
    <row r="62" spans="1:6" x14ac:dyDescent="0.3">
      <c r="A62" s="3">
        <v>55</v>
      </c>
      <c r="B62" s="7">
        <f t="shared" si="0"/>
        <v>4200000</v>
      </c>
      <c r="C62" s="8">
        <f t="shared" si="5"/>
        <v>23825479.932092961</v>
      </c>
      <c r="D62">
        <f t="shared" si="2"/>
        <v>77998.42148367461</v>
      </c>
      <c r="E62" s="8">
        <f t="shared" si="6"/>
        <v>483000</v>
      </c>
      <c r="F62" s="8">
        <f t="shared" si="7"/>
        <v>24386478.353576634</v>
      </c>
    </row>
    <row r="63" spans="1:6" x14ac:dyDescent="0.3">
      <c r="A63" s="3">
        <v>56</v>
      </c>
      <c r="B63" s="7">
        <f t="shared" si="0"/>
        <v>4200000</v>
      </c>
      <c r="C63" s="8">
        <f t="shared" si="5"/>
        <v>24386478.353576634</v>
      </c>
      <c r="D63">
        <f t="shared" si="2"/>
        <v>79834.984333836517</v>
      </c>
      <c r="E63" s="8">
        <f t="shared" si="6"/>
        <v>483000</v>
      </c>
      <c r="F63" s="8">
        <f t="shared" si="7"/>
        <v>24949313.33791047</v>
      </c>
    </row>
    <row r="64" spans="1:6" x14ac:dyDescent="0.3">
      <c r="A64" s="3">
        <v>57</v>
      </c>
      <c r="B64" s="7">
        <f t="shared" si="0"/>
        <v>4200000</v>
      </c>
      <c r="C64" s="8">
        <f t="shared" si="5"/>
        <v>24949313.33791047</v>
      </c>
      <c r="D64">
        <f t="shared" si="2"/>
        <v>81677.559612863493</v>
      </c>
      <c r="E64" s="8">
        <f t="shared" si="6"/>
        <v>483000</v>
      </c>
      <c r="F64" s="8">
        <f t="shared" si="7"/>
        <v>25513990.897523332</v>
      </c>
    </row>
    <row r="65" spans="1:6" x14ac:dyDescent="0.3">
      <c r="A65" s="3">
        <v>58</v>
      </c>
      <c r="B65" s="7">
        <f t="shared" si="0"/>
        <v>4200000</v>
      </c>
      <c r="C65" s="8">
        <f t="shared" si="5"/>
        <v>25513990.897523332</v>
      </c>
      <c r="D65">
        <f t="shared" si="2"/>
        <v>83526.167003883122</v>
      </c>
      <c r="E65" s="8">
        <f t="shared" si="6"/>
        <v>483000</v>
      </c>
      <c r="F65" s="8">
        <f t="shared" si="7"/>
        <v>26080517.064527217</v>
      </c>
    </row>
    <row r="66" spans="1:6" x14ac:dyDescent="0.3">
      <c r="A66" s="3">
        <v>59</v>
      </c>
      <c r="B66" s="7">
        <f t="shared" si="0"/>
        <v>4200000</v>
      </c>
      <c r="C66" s="8">
        <f t="shared" si="5"/>
        <v>26080517.064527217</v>
      </c>
      <c r="D66">
        <f t="shared" si="2"/>
        <v>85380.826254460408</v>
      </c>
      <c r="E66" s="8">
        <f t="shared" si="6"/>
        <v>483000</v>
      </c>
      <c r="F66" s="8">
        <f t="shared" si="7"/>
        <v>26648897.890781678</v>
      </c>
    </row>
    <row r="67" spans="1:6" x14ac:dyDescent="0.3">
      <c r="A67" s="3">
        <v>60</v>
      </c>
      <c r="B67" s="7">
        <f t="shared" si="0"/>
        <v>4200000</v>
      </c>
      <c r="C67" s="8">
        <f t="shared" si="5"/>
        <v>26648897.890781678</v>
      </c>
      <c r="D67">
        <f t="shared" si="2"/>
        <v>87241.557176808725</v>
      </c>
      <c r="E67" s="8">
        <f t="shared" si="6"/>
        <v>483000</v>
      </c>
      <c r="F67" s="8">
        <f t="shared" si="7"/>
        <v>27219139.447958488</v>
      </c>
    </row>
    <row r="68" spans="1:6" x14ac:dyDescent="0.3">
      <c r="A68" s="3">
        <v>61</v>
      </c>
      <c r="B68" s="7">
        <f t="shared" si="0"/>
        <v>4500000</v>
      </c>
      <c r="C68" s="8">
        <f t="shared" ref="C68:C127" si="8">F67</f>
        <v>27219139.447958488</v>
      </c>
      <c r="D68">
        <f t="shared" si="2"/>
        <v>89108.379648001501</v>
      </c>
      <c r="E68" s="8">
        <f t="shared" ref="E68:E127" si="9">B68*$B$4</f>
        <v>517500</v>
      </c>
      <c r="F68" s="8">
        <f t="shared" ref="F68:F127" si="10">C68+D68+E68</f>
        <v>27825747.827606488</v>
      </c>
    </row>
    <row r="69" spans="1:6" x14ac:dyDescent="0.3">
      <c r="A69" s="3">
        <v>62</v>
      </c>
      <c r="B69" s="7">
        <f t="shared" si="0"/>
        <v>4500000</v>
      </c>
      <c r="C69" s="8">
        <f t="shared" si="8"/>
        <v>27825747.827606488</v>
      </c>
      <c r="D69">
        <f t="shared" si="2"/>
        <v>91094.257632670386</v>
      </c>
      <c r="E69" s="8">
        <f t="shared" si="9"/>
        <v>517500</v>
      </c>
      <c r="F69" s="8">
        <f t="shared" si="10"/>
        <v>28434342.085239157</v>
      </c>
    </row>
    <row r="70" spans="1:6" x14ac:dyDescent="0.3">
      <c r="A70" s="3">
        <v>63</v>
      </c>
      <c r="B70" s="7">
        <f t="shared" si="0"/>
        <v>4500000</v>
      </c>
      <c r="C70" s="8">
        <f t="shared" si="8"/>
        <v>28434342.085239157</v>
      </c>
      <c r="D70">
        <f t="shared" si="2"/>
        <v>93086.63686510027</v>
      </c>
      <c r="E70" s="8">
        <f t="shared" si="9"/>
        <v>517500</v>
      </c>
      <c r="F70" s="8">
        <f t="shared" si="10"/>
        <v>29044928.722104259</v>
      </c>
    </row>
    <row r="71" spans="1:6" x14ac:dyDescent="0.3">
      <c r="A71" s="3">
        <v>64</v>
      </c>
      <c r="B71" s="7">
        <f t="shared" si="0"/>
        <v>4500000</v>
      </c>
      <c r="C71" s="8">
        <f t="shared" si="8"/>
        <v>29044928.722104259</v>
      </c>
      <c r="D71">
        <f t="shared" si="2"/>
        <v>95085.53862868459</v>
      </c>
      <c r="E71" s="8">
        <f t="shared" si="9"/>
        <v>517500</v>
      </c>
      <c r="F71" s="8">
        <f t="shared" si="10"/>
        <v>29657514.260732945</v>
      </c>
    </row>
    <row r="72" spans="1:6" x14ac:dyDescent="0.3">
      <c r="A72" s="3">
        <v>65</v>
      </c>
      <c r="B72" s="7">
        <f t="shared" si="0"/>
        <v>4500000</v>
      </c>
      <c r="C72" s="8">
        <f t="shared" si="8"/>
        <v>29657514.260732945</v>
      </c>
      <c r="D72">
        <f t="shared" si="2"/>
        <v>97090.984276493065</v>
      </c>
      <c r="E72" s="8">
        <f t="shared" si="9"/>
        <v>517500</v>
      </c>
      <c r="F72" s="8">
        <f t="shared" si="10"/>
        <v>30272105.245009437</v>
      </c>
    </row>
    <row r="73" spans="1:6" x14ac:dyDescent="0.3">
      <c r="A73" s="3">
        <v>66</v>
      </c>
      <c r="B73" s="7">
        <f t="shared" ref="B73:B136" si="11">$B$1+($B$5*QUOTIENT(A73-1,12))</f>
        <v>4500000</v>
      </c>
      <c r="C73" s="8">
        <f t="shared" si="8"/>
        <v>30272105.245009437</v>
      </c>
      <c r="D73">
        <f t="shared" si="2"/>
        <v>99102.995231499808</v>
      </c>
      <c r="E73" s="8">
        <f t="shared" si="9"/>
        <v>517500</v>
      </c>
      <c r="F73" s="8">
        <f t="shared" si="10"/>
        <v>30888708.240240935</v>
      </c>
    </row>
    <row r="74" spans="1:6" x14ac:dyDescent="0.3">
      <c r="A74" s="3">
        <v>67</v>
      </c>
      <c r="B74" s="7">
        <f t="shared" si="11"/>
        <v>4500000</v>
      </c>
      <c r="C74" s="8">
        <f t="shared" si="8"/>
        <v>30888708.240240935</v>
      </c>
      <c r="D74">
        <f t="shared" ref="D74:D137" si="12">C74*$B$3</f>
        <v>101121.59298681217</v>
      </c>
      <c r="E74" s="8">
        <f t="shared" si="9"/>
        <v>517500</v>
      </c>
      <c r="F74" s="8">
        <f t="shared" si="10"/>
        <v>31507329.833227746</v>
      </c>
    </row>
    <row r="75" spans="1:6" x14ac:dyDescent="0.3">
      <c r="A75" s="3">
        <v>68</v>
      </c>
      <c r="B75" s="7">
        <f t="shared" si="11"/>
        <v>4500000</v>
      </c>
      <c r="C75" s="8">
        <f t="shared" si="8"/>
        <v>31507329.833227746</v>
      </c>
      <c r="D75">
        <f t="shared" si="12"/>
        <v>103146.79910590037</v>
      </c>
      <c r="E75" s="8">
        <f t="shared" si="9"/>
        <v>517500</v>
      </c>
      <c r="F75" s="8">
        <f t="shared" si="10"/>
        <v>32127976.632333647</v>
      </c>
    </row>
    <row r="76" spans="1:6" x14ac:dyDescent="0.3">
      <c r="A76" s="3">
        <v>69</v>
      </c>
      <c r="B76" s="7">
        <f t="shared" si="11"/>
        <v>4500000</v>
      </c>
      <c r="C76" s="8">
        <f t="shared" si="8"/>
        <v>32127976.632333647</v>
      </c>
      <c r="D76">
        <f t="shared" si="12"/>
        <v>105178.63522282777</v>
      </c>
      <c r="E76" s="8">
        <f t="shared" si="9"/>
        <v>517500</v>
      </c>
      <c r="F76" s="8">
        <f t="shared" si="10"/>
        <v>32750655.267556474</v>
      </c>
    </row>
    <row r="77" spans="1:6" x14ac:dyDescent="0.3">
      <c r="A77" s="3">
        <v>70</v>
      </c>
      <c r="B77" s="7">
        <f t="shared" si="11"/>
        <v>4500000</v>
      </c>
      <c r="C77" s="8">
        <f t="shared" si="8"/>
        <v>32750655.267556474</v>
      </c>
      <c r="D77">
        <f t="shared" si="12"/>
        <v>107217.12304248207</v>
      </c>
      <c r="E77" s="8">
        <f t="shared" si="9"/>
        <v>517500</v>
      </c>
      <c r="F77" s="8">
        <f t="shared" si="10"/>
        <v>33375372.390598956</v>
      </c>
    </row>
    <row r="78" spans="1:6" x14ac:dyDescent="0.3">
      <c r="A78" s="3">
        <v>71</v>
      </c>
      <c r="B78" s="7">
        <f t="shared" si="11"/>
        <v>4500000</v>
      </c>
      <c r="C78" s="8">
        <f t="shared" si="8"/>
        <v>33375372.390598956</v>
      </c>
      <c r="D78">
        <f t="shared" si="12"/>
        <v>109262.28434080709</v>
      </c>
      <c r="E78" s="8">
        <f t="shared" si="9"/>
        <v>517500</v>
      </c>
      <c r="F78" s="8">
        <f t="shared" si="10"/>
        <v>34002134.674939767</v>
      </c>
    </row>
    <row r="79" spans="1:6" x14ac:dyDescent="0.3">
      <c r="A79" s="3">
        <v>72</v>
      </c>
      <c r="B79" s="7">
        <f t="shared" si="11"/>
        <v>4500000</v>
      </c>
      <c r="C79" s="8">
        <f t="shared" si="8"/>
        <v>34002134.674939767</v>
      </c>
      <c r="D79">
        <f t="shared" si="12"/>
        <v>111314.14096503548</v>
      </c>
      <c r="E79" s="8">
        <f t="shared" si="9"/>
        <v>517500</v>
      </c>
      <c r="F79" s="8">
        <f t="shared" si="10"/>
        <v>34630948.815904804</v>
      </c>
    </row>
    <row r="80" spans="1:6" x14ac:dyDescent="0.3">
      <c r="A80" s="3">
        <v>73</v>
      </c>
      <c r="B80" s="7">
        <f t="shared" si="11"/>
        <v>4800000</v>
      </c>
      <c r="C80" s="8">
        <f t="shared" si="8"/>
        <v>34630948.815904804</v>
      </c>
      <c r="D80">
        <f t="shared" si="12"/>
        <v>113372.71483392194</v>
      </c>
      <c r="E80" s="8">
        <f t="shared" si="9"/>
        <v>552000</v>
      </c>
      <c r="F80" s="8">
        <f t="shared" si="10"/>
        <v>35296321.530738726</v>
      </c>
    </row>
    <row r="81" spans="1:6" x14ac:dyDescent="0.3">
      <c r="A81" s="3">
        <v>74</v>
      </c>
      <c r="B81" s="7">
        <f t="shared" si="11"/>
        <v>4800000</v>
      </c>
      <c r="C81" s="8">
        <f t="shared" si="8"/>
        <v>35296321.530738726</v>
      </c>
      <c r="D81">
        <f t="shared" si="12"/>
        <v>115550.97196046346</v>
      </c>
      <c r="E81" s="8">
        <f t="shared" si="9"/>
        <v>552000</v>
      </c>
      <c r="F81" s="8">
        <f t="shared" si="10"/>
        <v>35963872.502699189</v>
      </c>
    </row>
    <row r="82" spans="1:6" x14ac:dyDescent="0.3">
      <c r="A82" s="3">
        <v>75</v>
      </c>
      <c r="B82" s="7">
        <f t="shared" si="11"/>
        <v>4800000</v>
      </c>
      <c r="C82" s="8">
        <f t="shared" si="8"/>
        <v>35963872.502699189</v>
      </c>
      <c r="D82">
        <f t="shared" si="12"/>
        <v>117736.36013401597</v>
      </c>
      <c r="E82" s="8">
        <f t="shared" si="9"/>
        <v>552000</v>
      </c>
      <c r="F82" s="8">
        <f t="shared" si="10"/>
        <v>36633608.862833202</v>
      </c>
    </row>
    <row r="83" spans="1:6" x14ac:dyDescent="0.3">
      <c r="A83" s="3">
        <v>76</v>
      </c>
      <c r="B83" s="7">
        <f t="shared" si="11"/>
        <v>4800000</v>
      </c>
      <c r="C83" s="8">
        <f t="shared" si="8"/>
        <v>36633608.862833202</v>
      </c>
      <c r="D83">
        <f t="shared" si="12"/>
        <v>119928.90269977179</v>
      </c>
      <c r="E83" s="8">
        <f t="shared" si="9"/>
        <v>552000</v>
      </c>
      <c r="F83" s="8">
        <f t="shared" si="10"/>
        <v>37305537.76553297</v>
      </c>
    </row>
    <row r="84" spans="1:6" x14ac:dyDescent="0.3">
      <c r="A84" s="3">
        <v>77</v>
      </c>
      <c r="B84" s="7">
        <f t="shared" si="11"/>
        <v>4800000</v>
      </c>
      <c r="C84" s="8">
        <f t="shared" si="8"/>
        <v>37305537.76553297</v>
      </c>
      <c r="D84">
        <f t="shared" si="12"/>
        <v>122128.62307934929</v>
      </c>
      <c r="E84" s="8">
        <f t="shared" si="9"/>
        <v>552000</v>
      </c>
      <c r="F84" s="8">
        <f t="shared" si="10"/>
        <v>37979666.388612323</v>
      </c>
    </row>
    <row r="85" spans="1:6" x14ac:dyDescent="0.3">
      <c r="A85" s="3">
        <v>78</v>
      </c>
      <c r="B85" s="7">
        <f t="shared" si="11"/>
        <v>4800000</v>
      </c>
      <c r="C85" s="8">
        <f t="shared" si="8"/>
        <v>37979666.388612323</v>
      </c>
      <c r="D85">
        <f t="shared" si="12"/>
        <v>124335.54477104313</v>
      </c>
      <c r="E85" s="8">
        <f t="shared" si="9"/>
        <v>552000</v>
      </c>
      <c r="F85" s="8">
        <f t="shared" si="10"/>
        <v>38656001.933383368</v>
      </c>
    </row>
    <row r="86" spans="1:6" x14ac:dyDescent="0.3">
      <c r="A86" s="3">
        <v>79</v>
      </c>
      <c r="B86" s="7">
        <f t="shared" si="11"/>
        <v>4800000</v>
      </c>
      <c r="C86" s="8">
        <f t="shared" si="8"/>
        <v>38656001.933383368</v>
      </c>
      <c r="D86">
        <f t="shared" si="12"/>
        <v>126549.69135007529</v>
      </c>
      <c r="E86" s="8">
        <f t="shared" si="9"/>
        <v>552000</v>
      </c>
      <c r="F86" s="8">
        <f t="shared" si="10"/>
        <v>39334551.624733441</v>
      </c>
    </row>
    <row r="87" spans="1:6" x14ac:dyDescent="0.3">
      <c r="A87" s="3">
        <v>80</v>
      </c>
      <c r="B87" s="7">
        <f t="shared" si="11"/>
        <v>4800000</v>
      </c>
      <c r="C87" s="8">
        <f t="shared" si="8"/>
        <v>39334551.624733441</v>
      </c>
      <c r="D87">
        <f t="shared" si="12"/>
        <v>128771.08646884681</v>
      </c>
      <c r="E87" s="8">
        <f t="shared" si="9"/>
        <v>552000</v>
      </c>
      <c r="F87" s="8">
        <f t="shared" si="10"/>
        <v>40015322.711202286</v>
      </c>
    </row>
    <row r="88" spans="1:6" x14ac:dyDescent="0.3">
      <c r="A88" s="3">
        <v>81</v>
      </c>
      <c r="B88" s="7">
        <f t="shared" si="11"/>
        <v>4800000</v>
      </c>
      <c r="C88" s="8">
        <f t="shared" si="8"/>
        <v>40015322.711202286</v>
      </c>
      <c r="D88">
        <f t="shared" si="12"/>
        <v>130999.75385719065</v>
      </c>
      <c r="E88" s="8">
        <f t="shared" si="9"/>
        <v>552000</v>
      </c>
      <c r="F88" s="8">
        <f t="shared" si="10"/>
        <v>40698322.465059474</v>
      </c>
    </row>
    <row r="89" spans="1:6" x14ac:dyDescent="0.3">
      <c r="A89" s="3">
        <v>82</v>
      </c>
      <c r="B89" s="7">
        <f t="shared" si="11"/>
        <v>4800000</v>
      </c>
      <c r="C89" s="8">
        <f t="shared" si="8"/>
        <v>40698322.465059474</v>
      </c>
      <c r="D89">
        <f t="shared" si="12"/>
        <v>133235.71732262499</v>
      </c>
      <c r="E89" s="8">
        <f t="shared" si="9"/>
        <v>552000</v>
      </c>
      <c r="F89" s="8">
        <f t="shared" si="10"/>
        <v>41383558.182382099</v>
      </c>
    </row>
    <row r="90" spans="1:6" x14ac:dyDescent="0.3">
      <c r="A90" s="3">
        <v>83</v>
      </c>
      <c r="B90" s="7">
        <f t="shared" si="11"/>
        <v>4800000</v>
      </c>
      <c r="C90" s="8">
        <f t="shared" si="8"/>
        <v>41383558.182382099</v>
      </c>
      <c r="D90">
        <f t="shared" si="12"/>
        <v>135479.00075060767</v>
      </c>
      <c r="E90" s="8">
        <f t="shared" si="9"/>
        <v>552000</v>
      </c>
      <c r="F90" s="8">
        <f t="shared" si="10"/>
        <v>42071037.183132708</v>
      </c>
    </row>
    <row r="91" spans="1:6" x14ac:dyDescent="0.3">
      <c r="A91" s="3">
        <v>84</v>
      </c>
      <c r="B91" s="7">
        <f t="shared" si="11"/>
        <v>4800000</v>
      </c>
      <c r="C91" s="8">
        <f t="shared" si="8"/>
        <v>42071037.183132708</v>
      </c>
      <c r="D91">
        <f t="shared" si="12"/>
        <v>137729.62810479131</v>
      </c>
      <c r="E91" s="8">
        <f t="shared" si="9"/>
        <v>552000</v>
      </c>
      <c r="F91" s="8">
        <f t="shared" si="10"/>
        <v>42760766.811237499</v>
      </c>
    </row>
    <row r="92" spans="1:6" x14ac:dyDescent="0.3">
      <c r="A92" s="3">
        <v>85</v>
      </c>
      <c r="B92" s="7">
        <f t="shared" si="11"/>
        <v>5100000</v>
      </c>
      <c r="C92" s="8">
        <f t="shared" si="8"/>
        <v>42760766.811237499</v>
      </c>
      <c r="D92">
        <f t="shared" si="12"/>
        <v>139987.62342727924</v>
      </c>
      <c r="E92" s="8">
        <f t="shared" si="9"/>
        <v>586500</v>
      </c>
      <c r="F92" s="8">
        <f t="shared" si="10"/>
        <v>43487254.434664778</v>
      </c>
    </row>
    <row r="93" spans="1:6" x14ac:dyDescent="0.3">
      <c r="A93" s="3">
        <v>86</v>
      </c>
      <c r="B93" s="7">
        <f t="shared" si="11"/>
        <v>5100000</v>
      </c>
      <c r="C93" s="8">
        <f t="shared" si="8"/>
        <v>43487254.434664778</v>
      </c>
      <c r="D93">
        <f t="shared" si="12"/>
        <v>142365.95486136826</v>
      </c>
      <c r="E93" s="8">
        <f t="shared" si="9"/>
        <v>586500</v>
      </c>
      <c r="F93" s="8">
        <f t="shared" si="10"/>
        <v>44216120.389526144</v>
      </c>
    </row>
    <row r="94" spans="1:6" x14ac:dyDescent="0.3">
      <c r="A94" s="3">
        <v>87</v>
      </c>
      <c r="B94" s="7">
        <f t="shared" si="11"/>
        <v>5100000</v>
      </c>
      <c r="C94" s="8">
        <f t="shared" si="8"/>
        <v>44216120.389526144</v>
      </c>
      <c r="D94">
        <f t="shared" si="12"/>
        <v>144752.07233368829</v>
      </c>
      <c r="E94" s="8">
        <f t="shared" si="9"/>
        <v>586500</v>
      </c>
      <c r="F94" s="8">
        <f t="shared" si="10"/>
        <v>44947372.46185983</v>
      </c>
    </row>
    <row r="95" spans="1:6" x14ac:dyDescent="0.3">
      <c r="A95" s="3">
        <v>88</v>
      </c>
      <c r="B95" s="7">
        <f t="shared" si="11"/>
        <v>5100000</v>
      </c>
      <c r="C95" s="8">
        <f t="shared" si="8"/>
        <v>44947372.46185983</v>
      </c>
      <c r="D95">
        <f t="shared" si="12"/>
        <v>147146.00133370247</v>
      </c>
      <c r="E95" s="8">
        <f t="shared" si="9"/>
        <v>586500</v>
      </c>
      <c r="F95" s="8">
        <f t="shared" si="10"/>
        <v>45681018.463193536</v>
      </c>
    </row>
    <row r="96" spans="1:6" x14ac:dyDescent="0.3">
      <c r="A96" s="3">
        <v>89</v>
      </c>
      <c r="B96" s="7">
        <f t="shared" si="11"/>
        <v>5100000</v>
      </c>
      <c r="C96" s="8">
        <f t="shared" si="8"/>
        <v>45681018.463193536</v>
      </c>
      <c r="D96">
        <f t="shared" si="12"/>
        <v>149547.7674343198</v>
      </c>
      <c r="E96" s="8">
        <f t="shared" si="9"/>
        <v>586500</v>
      </c>
      <c r="F96" s="8">
        <f t="shared" si="10"/>
        <v>46417066.230627857</v>
      </c>
    </row>
    <row r="97" spans="1:6" x14ac:dyDescent="0.3">
      <c r="A97" s="3">
        <v>90</v>
      </c>
      <c r="B97" s="7">
        <f t="shared" si="11"/>
        <v>5100000</v>
      </c>
      <c r="C97" s="8">
        <f t="shared" si="8"/>
        <v>46417066.230627857</v>
      </c>
      <c r="D97">
        <f t="shared" si="12"/>
        <v>151957.39629216824</v>
      </c>
      <c r="E97" s="8">
        <f t="shared" si="9"/>
        <v>586500</v>
      </c>
      <c r="F97" s="8">
        <f t="shared" si="10"/>
        <v>47155523.626920022</v>
      </c>
    </row>
    <row r="98" spans="1:6" x14ac:dyDescent="0.3">
      <c r="A98" s="3">
        <v>91</v>
      </c>
      <c r="B98" s="7">
        <f t="shared" si="11"/>
        <v>5100000</v>
      </c>
      <c r="C98" s="8">
        <f t="shared" si="8"/>
        <v>47155523.626920022</v>
      </c>
      <c r="D98">
        <f t="shared" si="12"/>
        <v>154374.91364786893</v>
      </c>
      <c r="E98" s="8">
        <f t="shared" si="9"/>
        <v>586500</v>
      </c>
      <c r="F98" s="8">
        <f t="shared" si="10"/>
        <v>47896398.54056789</v>
      </c>
    </row>
    <row r="99" spans="1:6" x14ac:dyDescent="0.3">
      <c r="A99" s="3">
        <v>92</v>
      </c>
      <c r="B99" s="7">
        <f t="shared" si="11"/>
        <v>5100000</v>
      </c>
      <c r="C99" s="8">
        <f t="shared" si="8"/>
        <v>47896398.54056789</v>
      </c>
      <c r="D99">
        <f t="shared" si="12"/>
        <v>156800.34532631113</v>
      </c>
      <c r="E99" s="8">
        <f t="shared" si="9"/>
        <v>586500</v>
      </c>
      <c r="F99" s="8">
        <f t="shared" si="10"/>
        <v>48639698.885894202</v>
      </c>
    </row>
    <row r="100" spans="1:6" x14ac:dyDescent="0.3">
      <c r="A100" s="3">
        <v>93</v>
      </c>
      <c r="B100" s="7">
        <f t="shared" si="11"/>
        <v>5100000</v>
      </c>
      <c r="C100" s="8">
        <f t="shared" si="8"/>
        <v>48639698.885894202</v>
      </c>
      <c r="D100">
        <f t="shared" si="12"/>
        <v>159233.71723692806</v>
      </c>
      <c r="E100" s="8">
        <f t="shared" si="9"/>
        <v>586500</v>
      </c>
      <c r="F100" s="8">
        <f t="shared" si="10"/>
        <v>49385432.60313113</v>
      </c>
    </row>
    <row r="101" spans="1:6" x14ac:dyDescent="0.3">
      <c r="A101" s="3">
        <v>94</v>
      </c>
      <c r="B101" s="7">
        <f t="shared" si="11"/>
        <v>5100000</v>
      </c>
      <c r="C101" s="8">
        <f t="shared" si="8"/>
        <v>49385432.60313113</v>
      </c>
      <c r="D101">
        <f t="shared" si="12"/>
        <v>161675.05537397368</v>
      </c>
      <c r="E101" s="8">
        <f t="shared" si="9"/>
        <v>586500</v>
      </c>
      <c r="F101" s="8">
        <f t="shared" si="10"/>
        <v>50133607.658505104</v>
      </c>
    </row>
    <row r="102" spans="1:6" x14ac:dyDescent="0.3">
      <c r="A102" s="3">
        <v>95</v>
      </c>
      <c r="B102" s="7">
        <f t="shared" si="11"/>
        <v>5100000</v>
      </c>
      <c r="C102" s="8">
        <f t="shared" si="8"/>
        <v>50133607.658505104</v>
      </c>
      <c r="D102">
        <f t="shared" si="12"/>
        <v>164124.38581680032</v>
      </c>
      <c r="E102" s="8">
        <f t="shared" si="9"/>
        <v>586500</v>
      </c>
      <c r="F102" s="8">
        <f t="shared" si="10"/>
        <v>50884232.044321902</v>
      </c>
    </row>
    <row r="103" spans="1:6" x14ac:dyDescent="0.3">
      <c r="A103" s="3">
        <v>96</v>
      </c>
      <c r="B103" s="7">
        <f t="shared" si="11"/>
        <v>5100000</v>
      </c>
      <c r="C103" s="8">
        <f t="shared" si="8"/>
        <v>50884232.044321902</v>
      </c>
      <c r="D103">
        <f t="shared" si="12"/>
        <v>166581.7347301374</v>
      </c>
      <c r="E103" s="8">
        <f t="shared" si="9"/>
        <v>586500</v>
      </c>
      <c r="F103" s="8">
        <f t="shared" si="10"/>
        <v>51637313.779052041</v>
      </c>
    </row>
    <row r="104" spans="1:6" x14ac:dyDescent="0.3">
      <c r="A104" s="3">
        <v>97</v>
      </c>
      <c r="B104" s="7">
        <f t="shared" si="11"/>
        <v>5400000</v>
      </c>
      <c r="C104" s="8">
        <f t="shared" si="8"/>
        <v>51637313.779052041</v>
      </c>
      <c r="D104">
        <f t="shared" si="12"/>
        <v>169047.12836437084</v>
      </c>
      <c r="E104" s="8">
        <f t="shared" si="9"/>
        <v>621000</v>
      </c>
      <c r="F104" s="8">
        <f t="shared" si="10"/>
        <v>52427360.907416411</v>
      </c>
    </row>
    <row r="105" spans="1:6" x14ac:dyDescent="0.3">
      <c r="A105" s="3">
        <v>98</v>
      </c>
      <c r="B105" s="7">
        <f t="shared" si="11"/>
        <v>5400000</v>
      </c>
      <c r="C105" s="8">
        <f t="shared" si="8"/>
        <v>52427360.907416411</v>
      </c>
      <c r="D105">
        <f t="shared" si="12"/>
        <v>171633.53707830928</v>
      </c>
      <c r="E105" s="8">
        <f t="shared" si="9"/>
        <v>621000</v>
      </c>
      <c r="F105" s="8">
        <f t="shared" si="10"/>
        <v>53219994.444494717</v>
      </c>
    </row>
    <row r="106" spans="1:6" x14ac:dyDescent="0.3">
      <c r="A106" s="3">
        <v>99</v>
      </c>
      <c r="B106" s="7">
        <f t="shared" si="11"/>
        <v>5400000</v>
      </c>
      <c r="C106" s="8">
        <f t="shared" si="8"/>
        <v>53219994.444494717</v>
      </c>
      <c r="D106">
        <f t="shared" si="12"/>
        <v>174228.41302134757</v>
      </c>
      <c r="E106" s="8">
        <f t="shared" si="9"/>
        <v>621000</v>
      </c>
      <c r="F106" s="8">
        <f t="shared" si="10"/>
        <v>54015222.857516065</v>
      </c>
    </row>
    <row r="107" spans="1:6" x14ac:dyDescent="0.3">
      <c r="A107" s="3">
        <v>100</v>
      </c>
      <c r="B107" s="7">
        <f t="shared" si="11"/>
        <v>5400000</v>
      </c>
      <c r="C107" s="8">
        <f t="shared" si="8"/>
        <v>54015222.857516065</v>
      </c>
      <c r="D107">
        <f t="shared" si="12"/>
        <v>176831.78391299048</v>
      </c>
      <c r="E107" s="8">
        <f t="shared" si="9"/>
        <v>621000</v>
      </c>
      <c r="F107" s="8">
        <f t="shared" si="10"/>
        <v>54813054.641429059</v>
      </c>
    </row>
    <row r="108" spans="1:6" x14ac:dyDescent="0.3">
      <c r="A108" s="3">
        <v>101</v>
      </c>
      <c r="B108" s="7">
        <f t="shared" si="11"/>
        <v>5400000</v>
      </c>
      <c r="C108" s="8">
        <f t="shared" si="8"/>
        <v>54813054.641429059</v>
      </c>
      <c r="D108">
        <f t="shared" si="12"/>
        <v>179443.67756348915</v>
      </c>
      <c r="E108" s="8">
        <f t="shared" si="9"/>
        <v>621000</v>
      </c>
      <c r="F108" s="8">
        <f t="shared" si="10"/>
        <v>55613498.318992548</v>
      </c>
    </row>
    <row r="109" spans="1:6" x14ac:dyDescent="0.3">
      <c r="A109" s="3">
        <v>102</v>
      </c>
      <c r="B109" s="7">
        <f t="shared" si="11"/>
        <v>5400000</v>
      </c>
      <c r="C109" s="8">
        <f t="shared" si="8"/>
        <v>55613498.318992548</v>
      </c>
      <c r="D109">
        <f t="shared" si="12"/>
        <v>182064.12187413836</v>
      </c>
      <c r="E109" s="8">
        <f t="shared" si="9"/>
        <v>621000</v>
      </c>
      <c r="F109" s="8">
        <f t="shared" si="10"/>
        <v>56416562.440866686</v>
      </c>
    </row>
    <row r="110" spans="1:6" x14ac:dyDescent="0.3">
      <c r="A110" s="3">
        <v>103</v>
      </c>
      <c r="B110" s="7">
        <f t="shared" si="11"/>
        <v>5400000</v>
      </c>
      <c r="C110" s="8">
        <f t="shared" si="8"/>
        <v>56416562.440866686</v>
      </c>
      <c r="D110">
        <f t="shared" si="12"/>
        <v>184693.14483757436</v>
      </c>
      <c r="E110" s="8">
        <f t="shared" si="9"/>
        <v>621000</v>
      </c>
      <c r="F110" s="8">
        <f t="shared" si="10"/>
        <v>57222255.58570426</v>
      </c>
    </row>
    <row r="111" spans="1:6" x14ac:dyDescent="0.3">
      <c r="A111" s="3">
        <v>104</v>
      </c>
      <c r="B111" s="7">
        <f t="shared" si="11"/>
        <v>5400000</v>
      </c>
      <c r="C111" s="8">
        <f t="shared" si="8"/>
        <v>57222255.58570426</v>
      </c>
      <c r="D111">
        <f t="shared" si="12"/>
        <v>187330.77453807407</v>
      </c>
      <c r="E111" s="8">
        <f t="shared" si="9"/>
        <v>621000</v>
      </c>
      <c r="F111" s="8">
        <f t="shared" si="10"/>
        <v>58030586.360242337</v>
      </c>
    </row>
    <row r="112" spans="1:6" x14ac:dyDescent="0.3">
      <c r="A112" s="3">
        <v>105</v>
      </c>
      <c r="B112" s="7">
        <f t="shared" si="11"/>
        <v>5400000</v>
      </c>
      <c r="C112" s="8">
        <f t="shared" si="8"/>
        <v>58030586.360242337</v>
      </c>
      <c r="D112">
        <f t="shared" si="12"/>
        <v>189977.03915185505</v>
      </c>
      <c r="E112" s="8">
        <f t="shared" si="9"/>
        <v>621000</v>
      </c>
      <c r="F112" s="8">
        <f t="shared" si="10"/>
        <v>58841563.399394192</v>
      </c>
    </row>
    <row r="113" spans="1:6" x14ac:dyDescent="0.3">
      <c r="A113" s="3">
        <v>106</v>
      </c>
      <c r="B113" s="7">
        <f t="shared" si="11"/>
        <v>5400000</v>
      </c>
      <c r="C113" s="8">
        <f t="shared" si="8"/>
        <v>58841563.399394192</v>
      </c>
      <c r="D113">
        <f t="shared" si="12"/>
        <v>192631.96694737635</v>
      </c>
      <c r="E113" s="8">
        <f t="shared" si="9"/>
        <v>621000</v>
      </c>
      <c r="F113" s="8">
        <f t="shared" si="10"/>
        <v>59655195.366341569</v>
      </c>
    </row>
    <row r="114" spans="1:6" x14ac:dyDescent="0.3">
      <c r="A114" s="3">
        <v>107</v>
      </c>
      <c r="B114" s="7">
        <f t="shared" si="11"/>
        <v>5400000</v>
      </c>
      <c r="C114" s="8">
        <f t="shared" si="8"/>
        <v>59655195.366341569</v>
      </c>
      <c r="D114">
        <f t="shared" si="12"/>
        <v>195295.58628564075</v>
      </c>
      <c r="E114" s="8">
        <f t="shared" si="9"/>
        <v>621000</v>
      </c>
      <c r="F114" s="8">
        <f t="shared" si="10"/>
        <v>60471490.952627212</v>
      </c>
    </row>
    <row r="115" spans="1:6" x14ac:dyDescent="0.3">
      <c r="A115" s="3">
        <v>108</v>
      </c>
      <c r="B115" s="7">
        <f t="shared" si="11"/>
        <v>5400000</v>
      </c>
      <c r="C115" s="8">
        <f t="shared" si="8"/>
        <v>60471490.952627212</v>
      </c>
      <c r="D115">
        <f t="shared" si="12"/>
        <v>197967.92562049744</v>
      </c>
      <c r="E115" s="8">
        <f t="shared" si="9"/>
        <v>621000</v>
      </c>
      <c r="F115" s="8">
        <f t="shared" si="10"/>
        <v>61290458.878247708</v>
      </c>
    </row>
    <row r="116" spans="1:6" x14ac:dyDescent="0.3">
      <c r="A116" s="3">
        <v>109</v>
      </c>
      <c r="B116" s="7">
        <f t="shared" si="11"/>
        <v>5700000</v>
      </c>
      <c r="C116" s="8">
        <f t="shared" si="8"/>
        <v>61290458.878247708</v>
      </c>
      <c r="D116">
        <f t="shared" si="12"/>
        <v>200649.01349894618</v>
      </c>
      <c r="E116" s="8">
        <f t="shared" si="9"/>
        <v>655500</v>
      </c>
      <c r="F116" s="8">
        <f t="shared" si="10"/>
        <v>62146607.891746655</v>
      </c>
    </row>
    <row r="117" spans="1:6" x14ac:dyDescent="0.3">
      <c r="A117" s="3">
        <v>110</v>
      </c>
      <c r="B117" s="7">
        <f t="shared" si="11"/>
        <v>5700000</v>
      </c>
      <c r="C117" s="8">
        <f t="shared" si="8"/>
        <v>62146607.891746655</v>
      </c>
      <c r="D117">
        <f t="shared" si="12"/>
        <v>203451.82258392803</v>
      </c>
      <c r="E117" s="8">
        <f t="shared" si="9"/>
        <v>655500</v>
      </c>
      <c r="F117" s="8">
        <f t="shared" si="10"/>
        <v>63005559.714330584</v>
      </c>
    </row>
    <row r="118" spans="1:6" x14ac:dyDescent="0.3">
      <c r="A118" s="3">
        <v>111</v>
      </c>
      <c r="B118" s="7">
        <f t="shared" si="11"/>
        <v>5700000</v>
      </c>
      <c r="C118" s="8">
        <f t="shared" si="8"/>
        <v>63005559.714330584</v>
      </c>
      <c r="D118">
        <f t="shared" si="12"/>
        <v>206263.8073365133</v>
      </c>
      <c r="E118" s="8">
        <f t="shared" si="9"/>
        <v>655500</v>
      </c>
      <c r="F118" s="8">
        <f t="shared" si="10"/>
        <v>63867323.5216671</v>
      </c>
    </row>
    <row r="119" spans="1:6" x14ac:dyDescent="0.3">
      <c r="A119" s="3">
        <v>112</v>
      </c>
      <c r="B119" s="7">
        <f t="shared" si="11"/>
        <v>5700000</v>
      </c>
      <c r="C119" s="8">
        <f t="shared" si="8"/>
        <v>63867323.5216671</v>
      </c>
      <c r="D119">
        <f t="shared" si="12"/>
        <v>209084.99779545006</v>
      </c>
      <c r="E119" s="8">
        <f t="shared" si="9"/>
        <v>655500</v>
      </c>
      <c r="F119" s="8">
        <f t="shared" si="10"/>
        <v>64731908.519462548</v>
      </c>
    </row>
    <row r="120" spans="1:6" x14ac:dyDescent="0.3">
      <c r="A120" s="3">
        <v>113</v>
      </c>
      <c r="B120" s="7">
        <f t="shared" si="11"/>
        <v>5700000</v>
      </c>
      <c r="C120" s="8">
        <f t="shared" si="8"/>
        <v>64731908.519462548</v>
      </c>
      <c r="D120">
        <f t="shared" si="12"/>
        <v>211915.42409782537</v>
      </c>
      <c r="E120" s="8">
        <f t="shared" si="9"/>
        <v>655500</v>
      </c>
      <c r="F120" s="8">
        <f t="shared" si="10"/>
        <v>65599323.943560377</v>
      </c>
    </row>
    <row r="121" spans="1:6" x14ac:dyDescent="0.3">
      <c r="A121" s="3">
        <v>114</v>
      </c>
      <c r="B121" s="7">
        <f t="shared" si="11"/>
        <v>5700000</v>
      </c>
      <c r="C121" s="8">
        <f t="shared" si="8"/>
        <v>65599323.943560377</v>
      </c>
      <c r="D121">
        <f t="shared" si="12"/>
        <v>214755.11647938739</v>
      </c>
      <c r="E121" s="8">
        <f t="shared" si="9"/>
        <v>655500</v>
      </c>
      <c r="F121" s="8">
        <f t="shared" si="10"/>
        <v>66469579.060039766</v>
      </c>
    </row>
    <row r="122" spans="1:6" x14ac:dyDescent="0.3">
      <c r="A122" s="3">
        <v>115</v>
      </c>
      <c r="B122" s="7">
        <f t="shared" si="11"/>
        <v>5700000</v>
      </c>
      <c r="C122" s="8">
        <f t="shared" si="8"/>
        <v>66469579.060039766</v>
      </c>
      <c r="D122">
        <f t="shared" si="12"/>
        <v>217604.10527486811</v>
      </c>
      <c r="E122" s="8">
        <f t="shared" si="9"/>
        <v>655500</v>
      </c>
      <c r="F122" s="8">
        <f t="shared" si="10"/>
        <v>67342683.165314645</v>
      </c>
    </row>
    <row r="123" spans="1:6" x14ac:dyDescent="0.3">
      <c r="A123" s="3">
        <v>116</v>
      </c>
      <c r="B123" s="7">
        <f t="shared" si="11"/>
        <v>5700000</v>
      </c>
      <c r="C123" s="8">
        <f t="shared" si="8"/>
        <v>67342683.165314645</v>
      </c>
      <c r="D123">
        <f t="shared" si="12"/>
        <v>220462.42091830767</v>
      </c>
      <c r="E123" s="8">
        <f t="shared" si="9"/>
        <v>655500</v>
      </c>
      <c r="F123" s="8">
        <f t="shared" si="10"/>
        <v>68218645.586232945</v>
      </c>
    </row>
    <row r="124" spans="1:6" x14ac:dyDescent="0.3">
      <c r="A124" s="3">
        <v>117</v>
      </c>
      <c r="B124" s="7">
        <f t="shared" si="11"/>
        <v>5700000</v>
      </c>
      <c r="C124" s="8">
        <f t="shared" si="8"/>
        <v>68218645.586232945</v>
      </c>
      <c r="D124">
        <f t="shared" si="12"/>
        <v>223330.09394337918</v>
      </c>
      <c r="E124" s="8">
        <f t="shared" si="9"/>
        <v>655500</v>
      </c>
      <c r="F124" s="8">
        <f t="shared" si="10"/>
        <v>69097475.680176318</v>
      </c>
    </row>
    <row r="125" spans="1:6" x14ac:dyDescent="0.3">
      <c r="A125" s="3">
        <v>118</v>
      </c>
      <c r="B125" s="7">
        <f t="shared" si="11"/>
        <v>5700000</v>
      </c>
      <c r="C125" s="8">
        <f t="shared" si="8"/>
        <v>69097475.680176318</v>
      </c>
      <c r="D125">
        <f t="shared" si="12"/>
        <v>226207.15498371521</v>
      </c>
      <c r="E125" s="8">
        <f t="shared" si="9"/>
        <v>655500</v>
      </c>
      <c r="F125" s="8">
        <f t="shared" si="10"/>
        <v>69979182.835160032</v>
      </c>
    </row>
    <row r="126" spans="1:6" x14ac:dyDescent="0.3">
      <c r="A126" s="3">
        <v>119</v>
      </c>
      <c r="B126" s="7">
        <f t="shared" si="11"/>
        <v>5700000</v>
      </c>
      <c r="C126" s="8">
        <f t="shared" si="8"/>
        <v>69979182.835160032</v>
      </c>
      <c r="D126">
        <f t="shared" si="12"/>
        <v>229093.63477323481</v>
      </c>
      <c r="E126" s="8">
        <f t="shared" si="9"/>
        <v>655500</v>
      </c>
      <c r="F126" s="8">
        <f t="shared" si="10"/>
        <v>70863776.469933271</v>
      </c>
    </row>
    <row r="127" spans="1:6" x14ac:dyDescent="0.3">
      <c r="A127" s="3">
        <v>120</v>
      </c>
      <c r="B127" s="7">
        <f t="shared" si="11"/>
        <v>5700000</v>
      </c>
      <c r="C127" s="8">
        <f t="shared" si="8"/>
        <v>70863776.469933271</v>
      </c>
      <c r="D127">
        <f t="shared" si="12"/>
        <v>231989.56414647191</v>
      </c>
      <c r="E127" s="8">
        <f t="shared" si="9"/>
        <v>655500</v>
      </c>
      <c r="F127" s="8">
        <f t="shared" si="10"/>
        <v>71751266.034079745</v>
      </c>
    </row>
    <row r="128" spans="1:6" x14ac:dyDescent="0.3">
      <c r="A128" s="3">
        <v>121</v>
      </c>
      <c r="B128" s="7">
        <f t="shared" si="11"/>
        <v>6000000</v>
      </c>
      <c r="C128" s="8">
        <f t="shared" ref="C128:C191" si="13">F127</f>
        <v>71751266.034079745</v>
      </c>
      <c r="D128">
        <f t="shared" si="12"/>
        <v>234894.97403890459</v>
      </c>
      <c r="E128" s="8">
        <f t="shared" ref="E128:E191" si="14">B128*$B$4</f>
        <v>690000</v>
      </c>
      <c r="F128" s="8">
        <f t="shared" ref="F128:F191" si="15">C128+D128+E128</f>
        <v>72676161.008118644</v>
      </c>
    </row>
    <row r="129" spans="1:6" x14ac:dyDescent="0.3">
      <c r="A129" s="3">
        <v>122</v>
      </c>
      <c r="B129" s="7">
        <f t="shared" si="11"/>
        <v>6000000</v>
      </c>
      <c r="C129" s="8">
        <f t="shared" si="13"/>
        <v>72676161.008118644</v>
      </c>
      <c r="D129">
        <f t="shared" si="12"/>
        <v>237922.83950977158</v>
      </c>
      <c r="E129" s="8">
        <f t="shared" si="14"/>
        <v>690000</v>
      </c>
      <c r="F129" s="8">
        <f t="shared" si="15"/>
        <v>73604083.847628415</v>
      </c>
    </row>
    <row r="130" spans="1:6" x14ac:dyDescent="0.3">
      <c r="A130" s="3">
        <v>123</v>
      </c>
      <c r="B130" s="7">
        <f t="shared" si="11"/>
        <v>6000000</v>
      </c>
      <c r="C130" s="8">
        <f t="shared" si="13"/>
        <v>73604083.847628415</v>
      </c>
      <c r="D130">
        <f t="shared" si="12"/>
        <v>240960.61742428568</v>
      </c>
      <c r="E130" s="8">
        <f t="shared" si="14"/>
        <v>690000</v>
      </c>
      <c r="F130" s="8">
        <f t="shared" si="15"/>
        <v>74535044.465052694</v>
      </c>
    </row>
    <row r="131" spans="1:6" x14ac:dyDescent="0.3">
      <c r="A131" s="3">
        <v>124</v>
      </c>
      <c r="B131" s="7">
        <f t="shared" si="11"/>
        <v>6000000</v>
      </c>
      <c r="C131" s="8">
        <f t="shared" si="13"/>
        <v>74535044.465052694</v>
      </c>
      <c r="D131">
        <f t="shared" si="12"/>
        <v>244008.340233208</v>
      </c>
      <c r="E131" s="8">
        <f t="shared" si="14"/>
        <v>690000</v>
      </c>
      <c r="F131" s="8">
        <f t="shared" si="15"/>
        <v>75469052.805285901</v>
      </c>
    </row>
    <row r="132" spans="1:6" x14ac:dyDescent="0.3">
      <c r="A132" s="3">
        <v>125</v>
      </c>
      <c r="B132" s="7">
        <f t="shared" si="11"/>
        <v>6000000</v>
      </c>
      <c r="C132" s="8">
        <f t="shared" si="13"/>
        <v>75469052.805285901</v>
      </c>
      <c r="D132">
        <f t="shared" si="12"/>
        <v>247066.04049353505</v>
      </c>
      <c r="E132" s="8">
        <f t="shared" si="14"/>
        <v>690000</v>
      </c>
      <c r="F132" s="8">
        <f t="shared" si="15"/>
        <v>76406118.845779434</v>
      </c>
    </row>
    <row r="133" spans="1:6" x14ac:dyDescent="0.3">
      <c r="A133" s="3">
        <v>126</v>
      </c>
      <c r="B133" s="7">
        <f t="shared" si="11"/>
        <v>6000000</v>
      </c>
      <c r="C133" s="8">
        <f t="shared" si="13"/>
        <v>76406118.845779434</v>
      </c>
      <c r="D133">
        <f t="shared" si="12"/>
        <v>250133.75086884634</v>
      </c>
      <c r="E133" s="8">
        <f t="shared" si="14"/>
        <v>690000</v>
      </c>
      <c r="F133" s="8">
        <f t="shared" si="15"/>
        <v>77346252.596648276</v>
      </c>
    </row>
    <row r="134" spans="1:6" x14ac:dyDescent="0.3">
      <c r="A134" s="3">
        <v>127</v>
      </c>
      <c r="B134" s="7">
        <f t="shared" si="11"/>
        <v>6000000</v>
      </c>
      <c r="C134" s="8">
        <f t="shared" si="13"/>
        <v>77346252.596648276</v>
      </c>
      <c r="D134">
        <f t="shared" si="12"/>
        <v>253211.50412965356</v>
      </c>
      <c r="E134" s="8">
        <f t="shared" si="14"/>
        <v>690000</v>
      </c>
      <c r="F134" s="8">
        <f t="shared" si="15"/>
        <v>78289464.100777924</v>
      </c>
    </row>
    <row r="135" spans="1:6" x14ac:dyDescent="0.3">
      <c r="A135" s="3">
        <v>128</v>
      </c>
      <c r="B135" s="7">
        <f t="shared" si="11"/>
        <v>6000000</v>
      </c>
      <c r="C135" s="8">
        <f t="shared" si="13"/>
        <v>78289464.100777924</v>
      </c>
      <c r="D135">
        <f t="shared" si="12"/>
        <v>256299.33315375046</v>
      </c>
      <c r="E135" s="8">
        <f t="shared" si="14"/>
        <v>690000</v>
      </c>
      <c r="F135" s="8">
        <f t="shared" si="15"/>
        <v>79235763.433931679</v>
      </c>
    </row>
    <row r="136" spans="1:6" x14ac:dyDescent="0.3">
      <c r="A136" s="3">
        <v>129</v>
      </c>
      <c r="B136" s="7">
        <f t="shared" si="11"/>
        <v>6000000</v>
      </c>
      <c r="C136" s="8">
        <f t="shared" si="13"/>
        <v>79235763.433931679</v>
      </c>
      <c r="D136">
        <f t="shared" si="12"/>
        <v>259397.2709265642</v>
      </c>
      <c r="E136" s="8">
        <f t="shared" si="14"/>
        <v>690000</v>
      </c>
      <c r="F136" s="8">
        <f t="shared" si="15"/>
        <v>80185160.704858243</v>
      </c>
    </row>
    <row r="137" spans="1:6" x14ac:dyDescent="0.3">
      <c r="A137" s="3">
        <v>130</v>
      </c>
      <c r="B137" s="7">
        <f t="shared" ref="B137:B200" si="16">$B$1+($B$5*QUOTIENT(A137-1,12))</f>
        <v>6000000</v>
      </c>
      <c r="C137" s="8">
        <f t="shared" si="13"/>
        <v>80185160.704858243</v>
      </c>
      <c r="D137">
        <f t="shared" si="12"/>
        <v>262505.35054150759</v>
      </c>
      <c r="E137" s="8">
        <f t="shared" si="14"/>
        <v>690000</v>
      </c>
      <c r="F137" s="8">
        <f t="shared" si="15"/>
        <v>81137666.055399746</v>
      </c>
    </row>
    <row r="138" spans="1:6" x14ac:dyDescent="0.3">
      <c r="A138" s="3">
        <v>131</v>
      </c>
      <c r="B138" s="7">
        <f t="shared" si="16"/>
        <v>6000000</v>
      </c>
      <c r="C138" s="8">
        <f t="shared" si="13"/>
        <v>81137666.055399746</v>
      </c>
      <c r="D138">
        <f t="shared" ref="D138:D201" si="17">C138*$B$3</f>
        <v>265623.60520033265</v>
      </c>
      <c r="E138" s="8">
        <f t="shared" si="14"/>
        <v>690000</v>
      </c>
      <c r="F138" s="8">
        <f t="shared" si="15"/>
        <v>82093289.660600081</v>
      </c>
    </row>
    <row r="139" spans="1:6" x14ac:dyDescent="0.3">
      <c r="A139" s="3">
        <v>132</v>
      </c>
      <c r="B139" s="7">
        <f t="shared" si="16"/>
        <v>6000000</v>
      </c>
      <c r="C139" s="8">
        <f t="shared" si="13"/>
        <v>82093289.660600081</v>
      </c>
      <c r="D139">
        <f t="shared" si="17"/>
        <v>268752.0682134853</v>
      </c>
      <c r="E139" s="8">
        <f t="shared" si="14"/>
        <v>690000</v>
      </c>
      <c r="F139" s="8">
        <f t="shared" si="15"/>
        <v>83052041.728813574</v>
      </c>
    </row>
    <row r="140" spans="1:6" x14ac:dyDescent="0.3">
      <c r="A140" s="3">
        <v>133</v>
      </c>
      <c r="B140" s="7">
        <f t="shared" si="16"/>
        <v>6300000</v>
      </c>
      <c r="C140" s="8">
        <f t="shared" si="13"/>
        <v>83052041.728813574</v>
      </c>
      <c r="D140">
        <f t="shared" si="17"/>
        <v>271890.77300046128</v>
      </c>
      <c r="E140" s="8">
        <f t="shared" si="14"/>
        <v>724500</v>
      </c>
      <c r="F140" s="8">
        <f t="shared" si="15"/>
        <v>84048432.501814038</v>
      </c>
    </row>
    <row r="141" spans="1:6" x14ac:dyDescent="0.3">
      <c r="A141" s="3">
        <v>134</v>
      </c>
      <c r="B141" s="7">
        <f t="shared" si="16"/>
        <v>6300000</v>
      </c>
      <c r="C141" s="8">
        <f t="shared" si="13"/>
        <v>84048432.501814038</v>
      </c>
      <c r="D141">
        <f t="shared" si="17"/>
        <v>275152.69711264886</v>
      </c>
      <c r="E141" s="8">
        <f t="shared" si="14"/>
        <v>724500</v>
      </c>
      <c r="F141" s="8">
        <f t="shared" si="15"/>
        <v>85048085.198926687</v>
      </c>
    </row>
    <row r="142" spans="1:6" x14ac:dyDescent="0.3">
      <c r="A142" s="3">
        <v>135</v>
      </c>
      <c r="B142" s="7">
        <f t="shared" si="16"/>
        <v>6300000</v>
      </c>
      <c r="C142" s="8">
        <f t="shared" si="13"/>
        <v>85048085.198926687</v>
      </c>
      <c r="D142">
        <f t="shared" si="17"/>
        <v>278425.29991556896</v>
      </c>
      <c r="E142" s="8">
        <f t="shared" si="14"/>
        <v>724500</v>
      </c>
      <c r="F142" s="8">
        <f t="shared" si="15"/>
        <v>86051010.498842254</v>
      </c>
    </row>
    <row r="143" spans="1:6" x14ac:dyDescent="0.3">
      <c r="A143" s="3">
        <v>136</v>
      </c>
      <c r="B143" s="7">
        <f t="shared" si="16"/>
        <v>6300000</v>
      </c>
      <c r="C143" s="8">
        <f t="shared" si="13"/>
        <v>86051010.498842254</v>
      </c>
      <c r="D143">
        <f t="shared" si="17"/>
        <v>281708.61636847636</v>
      </c>
      <c r="E143" s="8">
        <f t="shared" si="14"/>
        <v>724500</v>
      </c>
      <c r="F143" s="8">
        <f t="shared" si="15"/>
        <v>87057219.115210727</v>
      </c>
    </row>
    <row r="144" spans="1:6" x14ac:dyDescent="0.3">
      <c r="A144" s="3">
        <v>137</v>
      </c>
      <c r="B144" s="7">
        <f t="shared" si="16"/>
        <v>6300000</v>
      </c>
      <c r="C144" s="8">
        <f t="shared" si="13"/>
        <v>87057219.115210727</v>
      </c>
      <c r="D144">
        <f t="shared" si="17"/>
        <v>285002.68154507317</v>
      </c>
      <c r="E144" s="8">
        <f t="shared" si="14"/>
        <v>724500</v>
      </c>
      <c r="F144" s="8">
        <f t="shared" si="15"/>
        <v>88066721.796755806</v>
      </c>
    </row>
    <row r="145" spans="1:6" x14ac:dyDescent="0.3">
      <c r="A145" s="3">
        <v>138</v>
      </c>
      <c r="B145" s="7">
        <f t="shared" si="16"/>
        <v>6300000</v>
      </c>
      <c r="C145" s="8">
        <f t="shared" si="13"/>
        <v>88066721.796755806</v>
      </c>
      <c r="D145">
        <f t="shared" si="17"/>
        <v>288307.53063388373</v>
      </c>
      <c r="E145" s="8">
        <f t="shared" si="14"/>
        <v>724500</v>
      </c>
      <c r="F145" s="8">
        <f t="shared" si="15"/>
        <v>89079529.327389687</v>
      </c>
    </row>
    <row r="146" spans="1:6" x14ac:dyDescent="0.3">
      <c r="A146" s="3">
        <v>139</v>
      </c>
      <c r="B146" s="7">
        <f t="shared" si="16"/>
        <v>6300000</v>
      </c>
      <c r="C146" s="8">
        <f t="shared" si="13"/>
        <v>89079529.327389687</v>
      </c>
      <c r="D146">
        <f t="shared" si="17"/>
        <v>291623.19893863052</v>
      </c>
      <c r="E146" s="8">
        <f t="shared" si="14"/>
        <v>724500</v>
      </c>
      <c r="F146" s="8">
        <f t="shared" si="15"/>
        <v>90095652.526328325</v>
      </c>
    </row>
    <row r="147" spans="1:6" x14ac:dyDescent="0.3">
      <c r="A147" s="3">
        <v>140</v>
      </c>
      <c r="B147" s="7">
        <f t="shared" si="16"/>
        <v>6300000</v>
      </c>
      <c r="C147" s="8">
        <f t="shared" si="13"/>
        <v>90095652.526328325</v>
      </c>
      <c r="D147">
        <f t="shared" si="17"/>
        <v>294949.72187861119</v>
      </c>
      <c r="E147" s="8">
        <f t="shared" si="14"/>
        <v>724500</v>
      </c>
      <c r="F147" s="8">
        <f t="shared" si="15"/>
        <v>91115102.248206943</v>
      </c>
    </row>
    <row r="148" spans="1:6" x14ac:dyDescent="0.3">
      <c r="A148" s="3">
        <v>141</v>
      </c>
      <c r="B148" s="7">
        <f t="shared" si="16"/>
        <v>6300000</v>
      </c>
      <c r="C148" s="8">
        <f t="shared" si="13"/>
        <v>91115102.248206943</v>
      </c>
      <c r="D148">
        <f t="shared" si="17"/>
        <v>298287.13498907682</v>
      </c>
      <c r="E148" s="8">
        <f t="shared" si="14"/>
        <v>724500</v>
      </c>
      <c r="F148" s="8">
        <f t="shared" si="15"/>
        <v>92137889.383196026</v>
      </c>
    </row>
    <row r="149" spans="1:6" x14ac:dyDescent="0.3">
      <c r="A149" s="3">
        <v>142</v>
      </c>
      <c r="B149" s="7">
        <f t="shared" si="16"/>
        <v>6300000</v>
      </c>
      <c r="C149" s="8">
        <f t="shared" si="13"/>
        <v>92137889.383196026</v>
      </c>
      <c r="D149">
        <f t="shared" si="17"/>
        <v>301635.47392161185</v>
      </c>
      <c r="E149" s="8">
        <f t="shared" si="14"/>
        <v>724500</v>
      </c>
      <c r="F149" s="8">
        <f t="shared" si="15"/>
        <v>93164024.857117638</v>
      </c>
    </row>
    <row r="150" spans="1:6" x14ac:dyDescent="0.3">
      <c r="A150" s="3">
        <v>143</v>
      </c>
      <c r="B150" s="7">
        <f t="shared" si="16"/>
        <v>6300000</v>
      </c>
      <c r="C150" s="8">
        <f t="shared" si="13"/>
        <v>93164024.857117638</v>
      </c>
      <c r="D150">
        <f t="shared" si="17"/>
        <v>304994.77444451454</v>
      </c>
      <c r="E150" s="8">
        <f t="shared" si="14"/>
        <v>724500</v>
      </c>
      <c r="F150" s="8">
        <f t="shared" si="15"/>
        <v>94193519.631562158</v>
      </c>
    </row>
    <row r="151" spans="1:6" x14ac:dyDescent="0.3">
      <c r="A151" s="3">
        <v>144</v>
      </c>
      <c r="B151" s="7">
        <f t="shared" si="16"/>
        <v>6300000</v>
      </c>
      <c r="C151" s="8">
        <f t="shared" si="13"/>
        <v>94193519.631562158</v>
      </c>
      <c r="D151">
        <f t="shared" si="17"/>
        <v>308365.0724431795</v>
      </c>
      <c r="E151" s="8">
        <f t="shared" si="14"/>
        <v>724500</v>
      </c>
      <c r="F151" s="8">
        <f t="shared" si="15"/>
        <v>95226384.704005331</v>
      </c>
    </row>
    <row r="152" spans="1:6" x14ac:dyDescent="0.3">
      <c r="A152" s="3">
        <v>145</v>
      </c>
      <c r="B152" s="7">
        <f t="shared" si="16"/>
        <v>6600000</v>
      </c>
      <c r="C152" s="8">
        <f t="shared" si="13"/>
        <v>95226384.704005331</v>
      </c>
      <c r="D152">
        <f t="shared" si="17"/>
        <v>311746.40392048046</v>
      </c>
      <c r="E152" s="8">
        <f t="shared" si="14"/>
        <v>759000</v>
      </c>
      <c r="F152" s="8">
        <f t="shared" si="15"/>
        <v>96297131.107925817</v>
      </c>
    </row>
    <row r="153" spans="1:6" x14ac:dyDescent="0.3">
      <c r="A153" s="3">
        <v>146</v>
      </c>
      <c r="B153" s="7">
        <f t="shared" si="16"/>
        <v>6600000</v>
      </c>
      <c r="C153" s="8">
        <f t="shared" si="13"/>
        <v>96297131.107925817</v>
      </c>
      <c r="D153">
        <f t="shared" si="17"/>
        <v>315251.74901964137</v>
      </c>
      <c r="E153" s="8">
        <f t="shared" si="14"/>
        <v>759000</v>
      </c>
      <c r="F153" s="8">
        <f t="shared" si="15"/>
        <v>97371382.856945455</v>
      </c>
    </row>
    <row r="154" spans="1:6" x14ac:dyDescent="0.3">
      <c r="A154" s="3">
        <v>147</v>
      </c>
      <c r="B154" s="7">
        <f t="shared" si="16"/>
        <v>6600000</v>
      </c>
      <c r="C154" s="8">
        <f t="shared" si="13"/>
        <v>97371382.856945455</v>
      </c>
      <c r="D154">
        <f t="shared" si="17"/>
        <v>318768.56970650371</v>
      </c>
      <c r="E154" s="8">
        <f t="shared" si="14"/>
        <v>759000</v>
      </c>
      <c r="F154" s="8">
        <f t="shared" si="15"/>
        <v>98449151.426651955</v>
      </c>
    </row>
    <row r="155" spans="1:6" x14ac:dyDescent="0.3">
      <c r="A155" s="3">
        <v>148</v>
      </c>
      <c r="B155" s="7">
        <f t="shared" si="16"/>
        <v>6600000</v>
      </c>
      <c r="C155" s="8">
        <f t="shared" si="13"/>
        <v>98449151.426651955</v>
      </c>
      <c r="D155">
        <f t="shared" si="17"/>
        <v>322296.90354915551</v>
      </c>
      <c r="E155" s="8">
        <f t="shared" si="14"/>
        <v>759000</v>
      </c>
      <c r="F155" s="8">
        <f t="shared" si="15"/>
        <v>99530448.330201104</v>
      </c>
    </row>
    <row r="156" spans="1:6" x14ac:dyDescent="0.3">
      <c r="A156" s="3">
        <v>149</v>
      </c>
      <c r="B156" s="7">
        <f t="shared" si="16"/>
        <v>6600000</v>
      </c>
      <c r="C156" s="8">
        <f t="shared" si="13"/>
        <v>99530448.330201104</v>
      </c>
      <c r="D156">
        <f t="shared" si="17"/>
        <v>325836.78823867289</v>
      </c>
      <c r="E156" s="8">
        <f t="shared" si="14"/>
        <v>759000</v>
      </c>
      <c r="F156" s="8">
        <f t="shared" si="15"/>
        <v>100615285.11843978</v>
      </c>
    </row>
    <row r="157" spans="1:6" x14ac:dyDescent="0.3">
      <c r="A157" s="3">
        <v>150</v>
      </c>
      <c r="B157" s="7">
        <f t="shared" si="16"/>
        <v>6600000</v>
      </c>
      <c r="C157" s="8">
        <f t="shared" si="13"/>
        <v>100615285.11843978</v>
      </c>
      <c r="D157">
        <f t="shared" si="17"/>
        <v>329388.26158952271</v>
      </c>
      <c r="E157" s="8">
        <f t="shared" si="14"/>
        <v>759000</v>
      </c>
      <c r="F157" s="8">
        <f t="shared" si="15"/>
        <v>101703673.38002931</v>
      </c>
    </row>
    <row r="158" spans="1:6" x14ac:dyDescent="0.3">
      <c r="A158" s="3">
        <v>151</v>
      </c>
      <c r="B158" s="7">
        <f t="shared" si="16"/>
        <v>6600000</v>
      </c>
      <c r="C158" s="8">
        <f t="shared" si="13"/>
        <v>101703673.38002931</v>
      </c>
      <c r="D158">
        <f t="shared" si="17"/>
        <v>332951.36153996666</v>
      </c>
      <c r="E158" s="8">
        <f t="shared" si="14"/>
        <v>759000</v>
      </c>
      <c r="F158" s="8">
        <f t="shared" si="15"/>
        <v>102795624.74156927</v>
      </c>
    </row>
    <row r="159" spans="1:6" x14ac:dyDescent="0.3">
      <c r="A159" s="3">
        <v>152</v>
      </c>
      <c r="B159" s="7">
        <f t="shared" si="16"/>
        <v>6600000</v>
      </c>
      <c r="C159" s="8">
        <f t="shared" si="13"/>
        <v>102795624.74156927</v>
      </c>
      <c r="D159">
        <f t="shared" si="17"/>
        <v>336526.12615246628</v>
      </c>
      <c r="E159" s="8">
        <f t="shared" si="14"/>
        <v>759000</v>
      </c>
      <c r="F159" s="8">
        <f t="shared" si="15"/>
        <v>103891150.86772174</v>
      </c>
    </row>
    <row r="160" spans="1:6" x14ac:dyDescent="0.3">
      <c r="A160" s="3">
        <v>153</v>
      </c>
      <c r="B160" s="7">
        <f t="shared" si="16"/>
        <v>6600000</v>
      </c>
      <c r="C160" s="8">
        <f t="shared" si="13"/>
        <v>103891150.86772174</v>
      </c>
      <c r="D160">
        <f t="shared" si="17"/>
        <v>340112.59361408994</v>
      </c>
      <c r="E160" s="8">
        <f t="shared" si="14"/>
        <v>759000</v>
      </c>
      <c r="F160" s="8">
        <f t="shared" si="15"/>
        <v>104990263.46133582</v>
      </c>
    </row>
    <row r="161" spans="1:6" x14ac:dyDescent="0.3">
      <c r="A161" s="3">
        <v>154</v>
      </c>
      <c r="B161" s="7">
        <f t="shared" si="16"/>
        <v>6600000</v>
      </c>
      <c r="C161" s="8">
        <f t="shared" si="13"/>
        <v>104990263.46133582</v>
      </c>
      <c r="D161">
        <f t="shared" si="17"/>
        <v>343710.80223692016</v>
      </c>
      <c r="E161" s="8">
        <f t="shared" si="14"/>
        <v>759000</v>
      </c>
      <c r="F161" s="8">
        <f t="shared" si="15"/>
        <v>106092974.26357274</v>
      </c>
    </row>
    <row r="162" spans="1:6" x14ac:dyDescent="0.3">
      <c r="A162" s="3">
        <v>155</v>
      </c>
      <c r="B162" s="7">
        <f t="shared" si="16"/>
        <v>6600000</v>
      </c>
      <c r="C162" s="8">
        <f t="shared" si="13"/>
        <v>106092974.26357274</v>
      </c>
      <c r="D162">
        <f t="shared" si="17"/>
        <v>347320.79045846366</v>
      </c>
      <c r="E162" s="8">
        <f t="shared" si="14"/>
        <v>759000</v>
      </c>
      <c r="F162" s="8">
        <f t="shared" si="15"/>
        <v>107199295.05403121</v>
      </c>
    </row>
    <row r="163" spans="1:6" x14ac:dyDescent="0.3">
      <c r="A163" s="3">
        <v>156</v>
      </c>
      <c r="B163" s="7">
        <f t="shared" si="16"/>
        <v>6600000</v>
      </c>
      <c r="C163" s="8">
        <f t="shared" si="13"/>
        <v>107199295.05403121</v>
      </c>
      <c r="D163">
        <f t="shared" si="17"/>
        <v>350942.59684206132</v>
      </c>
      <c r="E163" s="8">
        <f t="shared" si="14"/>
        <v>759000</v>
      </c>
      <c r="F163" s="8">
        <f t="shared" si="15"/>
        <v>108309237.65087327</v>
      </c>
    </row>
    <row r="164" spans="1:6" x14ac:dyDescent="0.3">
      <c r="A164" s="3">
        <v>157</v>
      </c>
      <c r="B164" s="7">
        <f t="shared" si="16"/>
        <v>6900000</v>
      </c>
      <c r="C164" s="8">
        <f t="shared" si="13"/>
        <v>108309237.65087327</v>
      </c>
      <c r="D164">
        <f t="shared" si="17"/>
        <v>354576.26007730037</v>
      </c>
      <c r="E164" s="8">
        <f t="shared" si="14"/>
        <v>793500</v>
      </c>
      <c r="F164" s="8">
        <f t="shared" si="15"/>
        <v>109457313.91095057</v>
      </c>
    </row>
    <row r="165" spans="1:6" x14ac:dyDescent="0.3">
      <c r="A165" s="3">
        <v>158</v>
      </c>
      <c r="B165" s="7">
        <f t="shared" si="16"/>
        <v>6900000</v>
      </c>
      <c r="C165" s="8">
        <f t="shared" si="13"/>
        <v>109457313.91095057</v>
      </c>
      <c r="D165">
        <f t="shared" si="17"/>
        <v>358334.76300291356</v>
      </c>
      <c r="E165" s="8">
        <f t="shared" si="14"/>
        <v>793500</v>
      </c>
      <c r="F165" s="8">
        <f t="shared" si="15"/>
        <v>110609148.67395349</v>
      </c>
    </row>
    <row r="166" spans="1:6" x14ac:dyDescent="0.3">
      <c r="A166" s="3">
        <v>159</v>
      </c>
      <c r="B166" s="7">
        <f t="shared" si="16"/>
        <v>6900000</v>
      </c>
      <c r="C166" s="8">
        <f t="shared" si="13"/>
        <v>110609148.67395349</v>
      </c>
      <c r="D166">
        <f t="shared" si="17"/>
        <v>362105.57028907584</v>
      </c>
      <c r="E166" s="8">
        <f t="shared" si="14"/>
        <v>793500</v>
      </c>
      <c r="F166" s="8">
        <f t="shared" si="15"/>
        <v>111764754.24424256</v>
      </c>
    </row>
    <row r="167" spans="1:6" x14ac:dyDescent="0.3">
      <c r="A167" s="3">
        <v>160</v>
      </c>
      <c r="B167" s="7">
        <f t="shared" si="16"/>
        <v>6900000</v>
      </c>
      <c r="C167" s="8">
        <f t="shared" si="13"/>
        <v>111764754.24424256</v>
      </c>
      <c r="D167">
        <f t="shared" si="17"/>
        <v>365888.72221706185</v>
      </c>
      <c r="E167" s="8">
        <f t="shared" si="14"/>
        <v>793500</v>
      </c>
      <c r="F167" s="8">
        <f t="shared" si="15"/>
        <v>112924142.96645963</v>
      </c>
    </row>
    <row r="168" spans="1:6" x14ac:dyDescent="0.3">
      <c r="A168" s="3">
        <v>161</v>
      </c>
      <c r="B168" s="7">
        <f t="shared" si="16"/>
        <v>6900000</v>
      </c>
      <c r="C168" s="8">
        <f t="shared" si="13"/>
        <v>112924142.96645963</v>
      </c>
      <c r="D168">
        <f t="shared" si="17"/>
        <v>369684.25920001662</v>
      </c>
      <c r="E168" s="8">
        <f t="shared" si="14"/>
        <v>793500</v>
      </c>
      <c r="F168" s="8">
        <f t="shared" si="15"/>
        <v>114087327.22565965</v>
      </c>
    </row>
    <row r="169" spans="1:6" x14ac:dyDescent="0.3">
      <c r="A169" s="3">
        <v>162</v>
      </c>
      <c r="B169" s="7">
        <f t="shared" si="16"/>
        <v>6900000</v>
      </c>
      <c r="C169" s="8">
        <f t="shared" si="13"/>
        <v>114087327.22565965</v>
      </c>
      <c r="D169">
        <f t="shared" si="17"/>
        <v>373492.2217833873</v>
      </c>
      <c r="E169" s="8">
        <f t="shared" si="14"/>
        <v>793500</v>
      </c>
      <c r="F169" s="8">
        <f t="shared" si="15"/>
        <v>115254319.44744304</v>
      </c>
    </row>
    <row r="170" spans="1:6" x14ac:dyDescent="0.3">
      <c r="A170" s="3">
        <v>163</v>
      </c>
      <c r="B170" s="7">
        <f t="shared" si="16"/>
        <v>6900000</v>
      </c>
      <c r="C170" s="8">
        <f t="shared" si="13"/>
        <v>115254319.44744304</v>
      </c>
      <c r="D170">
        <f t="shared" si="17"/>
        <v>377312.65064535628</v>
      </c>
      <c r="E170" s="8">
        <f t="shared" si="14"/>
        <v>793500</v>
      </c>
      <c r="F170" s="8">
        <f t="shared" si="15"/>
        <v>116425132.0980884</v>
      </c>
    </row>
    <row r="171" spans="1:6" x14ac:dyDescent="0.3">
      <c r="A171" s="3">
        <v>164</v>
      </c>
      <c r="B171" s="7">
        <f t="shared" si="16"/>
        <v>6900000</v>
      </c>
      <c r="C171" s="8">
        <f t="shared" si="13"/>
        <v>116425132.0980884</v>
      </c>
      <c r="D171">
        <f t="shared" si="17"/>
        <v>381145.58659727575</v>
      </c>
      <c r="E171" s="8">
        <f t="shared" si="14"/>
        <v>793500</v>
      </c>
      <c r="F171" s="8">
        <f t="shared" si="15"/>
        <v>117599777.68468568</v>
      </c>
    </row>
    <row r="172" spans="1:6" x14ac:dyDescent="0.3">
      <c r="A172" s="3">
        <v>165</v>
      </c>
      <c r="B172" s="7">
        <f t="shared" si="16"/>
        <v>6900000</v>
      </c>
      <c r="C172" s="8">
        <f t="shared" si="13"/>
        <v>117599777.68468568</v>
      </c>
      <c r="D172">
        <f t="shared" si="17"/>
        <v>384991.07058410364</v>
      </c>
      <c r="E172" s="8">
        <f t="shared" si="14"/>
        <v>793500</v>
      </c>
      <c r="F172" s="8">
        <f t="shared" si="15"/>
        <v>118778268.75526978</v>
      </c>
    </row>
    <row r="173" spans="1:6" x14ac:dyDescent="0.3">
      <c r="A173" s="3">
        <v>166</v>
      </c>
      <c r="B173" s="7">
        <f t="shared" si="16"/>
        <v>6900000</v>
      </c>
      <c r="C173" s="8">
        <f t="shared" si="13"/>
        <v>118778268.75526978</v>
      </c>
      <c r="D173">
        <f t="shared" si="17"/>
        <v>388849.14368484099</v>
      </c>
      <c r="E173" s="8">
        <f t="shared" si="14"/>
        <v>793500</v>
      </c>
      <c r="F173" s="8">
        <f t="shared" si="15"/>
        <v>119960617.89895461</v>
      </c>
    </row>
    <row r="174" spans="1:6" x14ac:dyDescent="0.3">
      <c r="A174" s="3">
        <v>167</v>
      </c>
      <c r="B174" s="7">
        <f t="shared" si="16"/>
        <v>6900000</v>
      </c>
      <c r="C174" s="8">
        <f t="shared" si="13"/>
        <v>119960617.89895461</v>
      </c>
      <c r="D174">
        <f t="shared" si="17"/>
        <v>392719.84711297089</v>
      </c>
      <c r="E174" s="8">
        <f t="shared" si="14"/>
        <v>793500</v>
      </c>
      <c r="F174" s="8">
        <f t="shared" si="15"/>
        <v>121146837.74606758</v>
      </c>
    </row>
    <row r="175" spans="1:6" x14ac:dyDescent="0.3">
      <c r="A175" s="3">
        <v>168</v>
      </c>
      <c r="B175" s="7">
        <f t="shared" si="16"/>
        <v>6900000</v>
      </c>
      <c r="C175" s="8">
        <f t="shared" si="13"/>
        <v>121146837.74606758</v>
      </c>
      <c r="D175">
        <f t="shared" si="17"/>
        <v>396603.22221689852</v>
      </c>
      <c r="E175" s="8">
        <f t="shared" si="14"/>
        <v>793500</v>
      </c>
      <c r="F175" s="8">
        <f t="shared" si="15"/>
        <v>122336940.96828449</v>
      </c>
    </row>
    <row r="176" spans="1:6" x14ac:dyDescent="0.3">
      <c r="A176" s="3">
        <v>169</v>
      </c>
      <c r="B176" s="7">
        <f t="shared" si="16"/>
        <v>7200000</v>
      </c>
      <c r="C176" s="8">
        <f t="shared" si="13"/>
        <v>122336940.96828449</v>
      </c>
      <c r="D176">
        <f t="shared" si="17"/>
        <v>400499.31048039312</v>
      </c>
      <c r="E176" s="8">
        <f t="shared" si="14"/>
        <v>828000</v>
      </c>
      <c r="F176" s="8">
        <f t="shared" si="15"/>
        <v>123565440.27876487</v>
      </c>
    </row>
    <row r="177" spans="1:6" x14ac:dyDescent="0.3">
      <c r="A177" s="3">
        <v>170</v>
      </c>
      <c r="B177" s="7">
        <f t="shared" si="16"/>
        <v>7200000</v>
      </c>
      <c r="C177" s="8">
        <f t="shared" si="13"/>
        <v>123565440.27876487</v>
      </c>
      <c r="D177">
        <f t="shared" si="17"/>
        <v>404521.09754551668</v>
      </c>
      <c r="E177" s="8">
        <f t="shared" si="14"/>
        <v>828000</v>
      </c>
      <c r="F177" s="8">
        <f t="shared" si="15"/>
        <v>124797961.37631039</v>
      </c>
    </row>
    <row r="178" spans="1:6" x14ac:dyDescent="0.3">
      <c r="A178" s="3">
        <v>171</v>
      </c>
      <c r="B178" s="7">
        <f t="shared" si="16"/>
        <v>7200000</v>
      </c>
      <c r="C178" s="8">
        <f t="shared" si="13"/>
        <v>124797961.37631039</v>
      </c>
      <c r="D178">
        <f t="shared" si="17"/>
        <v>408556.05089495092</v>
      </c>
      <c r="E178" s="8">
        <f t="shared" si="14"/>
        <v>828000</v>
      </c>
      <c r="F178" s="8">
        <f t="shared" si="15"/>
        <v>126034517.42720534</v>
      </c>
    </row>
    <row r="179" spans="1:6" x14ac:dyDescent="0.3">
      <c r="A179" s="3">
        <v>172</v>
      </c>
      <c r="B179" s="7">
        <f t="shared" si="16"/>
        <v>7200000</v>
      </c>
      <c r="C179" s="8">
        <f t="shared" si="13"/>
        <v>126034517.42720534</v>
      </c>
      <c r="D179">
        <f t="shared" si="17"/>
        <v>412604.21363168448</v>
      </c>
      <c r="E179" s="8">
        <f t="shared" si="14"/>
        <v>828000</v>
      </c>
      <c r="F179" s="8">
        <f t="shared" si="15"/>
        <v>127275121.64083703</v>
      </c>
    </row>
    <row r="180" spans="1:6" x14ac:dyDescent="0.3">
      <c r="A180" s="3">
        <v>173</v>
      </c>
      <c r="B180" s="7">
        <f t="shared" si="16"/>
        <v>7200000</v>
      </c>
      <c r="C180" s="8">
        <f t="shared" si="13"/>
        <v>127275121.64083703</v>
      </c>
      <c r="D180">
        <f t="shared" si="17"/>
        <v>416665.62899981416</v>
      </c>
      <c r="E180" s="8">
        <f t="shared" si="14"/>
        <v>828000</v>
      </c>
      <c r="F180" s="8">
        <f t="shared" si="15"/>
        <v>128519787.26983684</v>
      </c>
    </row>
    <row r="181" spans="1:6" x14ac:dyDescent="0.3">
      <c r="A181" s="3">
        <v>174</v>
      </c>
      <c r="B181" s="7">
        <f t="shared" si="16"/>
        <v>7200000</v>
      </c>
      <c r="C181" s="8">
        <f t="shared" si="13"/>
        <v>128519787.26983684</v>
      </c>
      <c r="D181">
        <f t="shared" si="17"/>
        <v>420740.34038500651</v>
      </c>
      <c r="E181" s="8">
        <f t="shared" si="14"/>
        <v>828000</v>
      </c>
      <c r="F181" s="8">
        <f t="shared" si="15"/>
        <v>129768527.61022185</v>
      </c>
    </row>
    <row r="182" spans="1:6" x14ac:dyDescent="0.3">
      <c r="A182" s="3">
        <v>175</v>
      </c>
      <c r="B182" s="7">
        <f t="shared" si="16"/>
        <v>7200000</v>
      </c>
      <c r="C182" s="8">
        <f t="shared" si="13"/>
        <v>129768527.61022185</v>
      </c>
      <c r="D182">
        <f t="shared" si="17"/>
        <v>424828.39131496148</v>
      </c>
      <c r="E182" s="8">
        <f t="shared" si="14"/>
        <v>828000</v>
      </c>
      <c r="F182" s="8">
        <f t="shared" si="15"/>
        <v>131021356.00153682</v>
      </c>
    </row>
    <row r="183" spans="1:6" x14ac:dyDescent="0.3">
      <c r="A183" s="3">
        <v>176</v>
      </c>
      <c r="B183" s="7">
        <f t="shared" si="16"/>
        <v>7200000</v>
      </c>
      <c r="C183" s="8">
        <f t="shared" si="13"/>
        <v>131021356.00153682</v>
      </c>
      <c r="D183">
        <f t="shared" si="17"/>
        <v>428929.82545987755</v>
      </c>
      <c r="E183" s="8">
        <f t="shared" si="14"/>
        <v>828000</v>
      </c>
      <c r="F183" s="8">
        <f t="shared" si="15"/>
        <v>132278285.8269967</v>
      </c>
    </row>
    <row r="184" spans="1:6" x14ac:dyDescent="0.3">
      <c r="A184" s="3">
        <v>177</v>
      </c>
      <c r="B184" s="7">
        <f t="shared" si="16"/>
        <v>7200000</v>
      </c>
      <c r="C184" s="8">
        <f t="shared" si="13"/>
        <v>132278285.8269967</v>
      </c>
      <c r="D184">
        <f t="shared" si="17"/>
        <v>433044.6866329179</v>
      </c>
      <c r="E184" s="8">
        <f t="shared" si="14"/>
        <v>828000</v>
      </c>
      <c r="F184" s="8">
        <f t="shared" si="15"/>
        <v>133539330.51362962</v>
      </c>
    </row>
    <row r="185" spans="1:6" x14ac:dyDescent="0.3">
      <c r="A185" s="3">
        <v>178</v>
      </c>
      <c r="B185" s="7">
        <f t="shared" si="16"/>
        <v>7200000</v>
      </c>
      <c r="C185" s="8">
        <f t="shared" si="13"/>
        <v>133539330.51362962</v>
      </c>
      <c r="D185">
        <f t="shared" si="17"/>
        <v>437173.01879067865</v>
      </c>
      <c r="E185" s="8">
        <f t="shared" si="14"/>
        <v>828000</v>
      </c>
      <c r="F185" s="8">
        <f t="shared" si="15"/>
        <v>134804503.53242028</v>
      </c>
    </row>
    <row r="186" spans="1:6" x14ac:dyDescent="0.3">
      <c r="A186" s="3">
        <v>179</v>
      </c>
      <c r="B186" s="7">
        <f t="shared" si="16"/>
        <v>7200000</v>
      </c>
      <c r="C186" s="8">
        <f t="shared" si="13"/>
        <v>134804503.53242028</v>
      </c>
      <c r="D186">
        <f t="shared" si="17"/>
        <v>441314.86603365839</v>
      </c>
      <c r="E186" s="8">
        <f t="shared" si="14"/>
        <v>828000</v>
      </c>
      <c r="F186" s="8">
        <f t="shared" si="15"/>
        <v>136073818.39845395</v>
      </c>
    </row>
    <row r="187" spans="1:6" x14ac:dyDescent="0.3">
      <c r="A187" s="3">
        <v>180</v>
      </c>
      <c r="B187" s="7">
        <f t="shared" si="16"/>
        <v>7200000</v>
      </c>
      <c r="C187" s="8">
        <f t="shared" si="13"/>
        <v>136073818.39845395</v>
      </c>
      <c r="D187">
        <f t="shared" si="17"/>
        <v>445470.2726067293</v>
      </c>
      <c r="E187" s="8">
        <f t="shared" si="14"/>
        <v>828000</v>
      </c>
      <c r="F187" s="8">
        <f t="shared" si="15"/>
        <v>137347288.67106068</v>
      </c>
    </row>
    <row r="188" spans="1:6" x14ac:dyDescent="0.3">
      <c r="A188" s="3">
        <v>181</v>
      </c>
      <c r="B188" s="7">
        <f t="shared" si="16"/>
        <v>7500000</v>
      </c>
      <c r="C188" s="8">
        <f t="shared" si="13"/>
        <v>137347288.67106068</v>
      </c>
      <c r="D188">
        <f t="shared" si="17"/>
        <v>449639.28289960965</v>
      </c>
      <c r="E188" s="8">
        <f t="shared" si="14"/>
        <v>862500</v>
      </c>
      <c r="F188" s="8">
        <f t="shared" si="15"/>
        <v>138659427.9539603</v>
      </c>
    </row>
    <row r="189" spans="1:6" x14ac:dyDescent="0.3">
      <c r="A189" s="3">
        <v>182</v>
      </c>
      <c r="B189" s="7">
        <f t="shared" si="16"/>
        <v>7500000</v>
      </c>
      <c r="C189" s="8">
        <f t="shared" si="13"/>
        <v>138659427.9539603</v>
      </c>
      <c r="D189">
        <f t="shared" si="17"/>
        <v>453934.88546982408</v>
      </c>
      <c r="E189" s="8">
        <f t="shared" si="14"/>
        <v>862500</v>
      </c>
      <c r="F189" s="8">
        <f t="shared" si="15"/>
        <v>139975862.83943012</v>
      </c>
    </row>
    <row r="190" spans="1:6" x14ac:dyDescent="0.3">
      <c r="A190" s="3">
        <v>183</v>
      </c>
      <c r="B190" s="7">
        <f t="shared" si="16"/>
        <v>7500000</v>
      </c>
      <c r="C190" s="8">
        <f t="shared" si="13"/>
        <v>139975862.83943012</v>
      </c>
      <c r="D190">
        <f t="shared" si="17"/>
        <v>458244.5507250611</v>
      </c>
      <c r="E190" s="8">
        <f t="shared" si="14"/>
        <v>862500</v>
      </c>
      <c r="F190" s="8">
        <f t="shared" si="15"/>
        <v>141296607.3901552</v>
      </c>
    </row>
    <row r="191" spans="1:6" x14ac:dyDescent="0.3">
      <c r="A191" s="3">
        <v>184</v>
      </c>
      <c r="B191" s="7">
        <f t="shared" si="16"/>
        <v>7500000</v>
      </c>
      <c r="C191" s="8">
        <f t="shared" si="13"/>
        <v>141296607.3901552</v>
      </c>
      <c r="D191">
        <f t="shared" si="17"/>
        <v>462568.32470289222</v>
      </c>
      <c r="E191" s="8">
        <f t="shared" si="14"/>
        <v>862500</v>
      </c>
      <c r="F191" s="8">
        <f t="shared" si="15"/>
        <v>142621675.71485808</v>
      </c>
    </row>
    <row r="192" spans="1:6" x14ac:dyDescent="0.3">
      <c r="A192" s="3">
        <v>185</v>
      </c>
      <c r="B192" s="7">
        <f t="shared" si="16"/>
        <v>7500000</v>
      </c>
      <c r="C192" s="8">
        <f t="shared" ref="C192:C255" si="18">F191</f>
        <v>142621675.71485808</v>
      </c>
      <c r="D192">
        <f t="shared" si="17"/>
        <v>466906.25359160372</v>
      </c>
      <c r="E192" s="8">
        <f t="shared" ref="E192:E255" si="19">B192*$B$4</f>
        <v>862500</v>
      </c>
      <c r="F192" s="8">
        <f t="shared" ref="F192:F255" si="20">C192+D192+E192</f>
        <v>143951081.96844968</v>
      </c>
    </row>
    <row r="193" spans="1:6" x14ac:dyDescent="0.3">
      <c r="A193" s="3">
        <v>186</v>
      </c>
      <c r="B193" s="7">
        <f t="shared" si="16"/>
        <v>7500000</v>
      </c>
      <c r="C193" s="8">
        <f t="shared" si="18"/>
        <v>143951081.96844968</v>
      </c>
      <c r="D193">
        <f t="shared" si="17"/>
        <v>471258.38373069052</v>
      </c>
      <c r="E193" s="8">
        <f t="shared" si="19"/>
        <v>862500</v>
      </c>
      <c r="F193" s="8">
        <f t="shared" si="20"/>
        <v>145284840.35218036</v>
      </c>
    </row>
    <row r="194" spans="1:6" x14ac:dyDescent="0.3">
      <c r="A194" s="3">
        <v>187</v>
      </c>
      <c r="B194" s="7">
        <f t="shared" si="16"/>
        <v>7500000</v>
      </c>
      <c r="C194" s="8">
        <f t="shared" si="18"/>
        <v>145284840.35218036</v>
      </c>
      <c r="D194">
        <f t="shared" si="17"/>
        <v>475624.76161135099</v>
      </c>
      <c r="E194" s="8">
        <f t="shared" si="19"/>
        <v>862500</v>
      </c>
      <c r="F194" s="8">
        <f t="shared" si="20"/>
        <v>146622965.1137917</v>
      </c>
    </row>
    <row r="195" spans="1:6" x14ac:dyDescent="0.3">
      <c r="A195" s="3">
        <v>188</v>
      </c>
      <c r="B195" s="7">
        <f t="shared" si="16"/>
        <v>7500000</v>
      </c>
      <c r="C195" s="8">
        <f t="shared" si="18"/>
        <v>146622965.1137917</v>
      </c>
      <c r="D195">
        <f t="shared" si="17"/>
        <v>480005.43387698347</v>
      </c>
      <c r="E195" s="8">
        <f t="shared" si="19"/>
        <v>862500</v>
      </c>
      <c r="F195" s="8">
        <f t="shared" si="20"/>
        <v>147965470.5476687</v>
      </c>
    </row>
    <row r="196" spans="1:6" x14ac:dyDescent="0.3">
      <c r="A196" s="3">
        <v>189</v>
      </c>
      <c r="B196" s="7">
        <f t="shared" si="16"/>
        <v>7500000</v>
      </c>
      <c r="C196" s="8">
        <f t="shared" si="18"/>
        <v>147965470.5476687</v>
      </c>
      <c r="D196">
        <f t="shared" si="17"/>
        <v>484400.44732368481</v>
      </c>
      <c r="E196" s="8">
        <f t="shared" si="19"/>
        <v>862500</v>
      </c>
      <c r="F196" s="8">
        <f t="shared" si="20"/>
        <v>149312370.99499238</v>
      </c>
    </row>
    <row r="197" spans="1:6" x14ac:dyDescent="0.3">
      <c r="A197" s="3">
        <v>190</v>
      </c>
      <c r="B197" s="7">
        <f t="shared" si="16"/>
        <v>7500000</v>
      </c>
      <c r="C197" s="8">
        <f t="shared" si="18"/>
        <v>149312370.99499238</v>
      </c>
      <c r="D197">
        <f t="shared" si="17"/>
        <v>488809.84890074987</v>
      </c>
      <c r="E197" s="8">
        <f t="shared" si="19"/>
        <v>862500</v>
      </c>
      <c r="F197" s="8">
        <f t="shared" si="20"/>
        <v>150663680.84389311</v>
      </c>
    </row>
    <row r="198" spans="1:6" x14ac:dyDescent="0.3">
      <c r="A198" s="3">
        <v>191</v>
      </c>
      <c r="B198" s="7">
        <f t="shared" si="16"/>
        <v>7500000</v>
      </c>
      <c r="C198" s="8">
        <f t="shared" si="18"/>
        <v>150663680.84389311</v>
      </c>
      <c r="D198">
        <f t="shared" si="17"/>
        <v>493233.6857111734</v>
      </c>
      <c r="E198" s="8">
        <f t="shared" si="19"/>
        <v>862500</v>
      </c>
      <c r="F198" s="8">
        <f t="shared" si="20"/>
        <v>152019414.52960429</v>
      </c>
    </row>
    <row r="199" spans="1:6" x14ac:dyDescent="0.3">
      <c r="A199" s="3">
        <v>192</v>
      </c>
      <c r="B199" s="7">
        <f t="shared" si="16"/>
        <v>7500000</v>
      </c>
      <c r="C199" s="8">
        <f t="shared" si="18"/>
        <v>152019414.52960429</v>
      </c>
      <c r="D199">
        <f t="shared" si="17"/>
        <v>497672.00501215324</v>
      </c>
      <c r="E199" s="8">
        <f t="shared" si="19"/>
        <v>862500</v>
      </c>
      <c r="F199" s="8">
        <f t="shared" si="20"/>
        <v>153379586.53461644</v>
      </c>
    </row>
    <row r="200" spans="1:6" x14ac:dyDescent="0.3">
      <c r="A200" s="3">
        <v>193</v>
      </c>
      <c r="B200" s="7">
        <f t="shared" si="16"/>
        <v>7800000</v>
      </c>
      <c r="C200" s="8">
        <f t="shared" si="18"/>
        <v>153379586.53461644</v>
      </c>
      <c r="D200">
        <f t="shared" si="17"/>
        <v>502124.85421559477</v>
      </c>
      <c r="E200" s="8">
        <f t="shared" si="19"/>
        <v>897000</v>
      </c>
      <c r="F200" s="8">
        <f t="shared" si="20"/>
        <v>154778711.38883203</v>
      </c>
    </row>
    <row r="201" spans="1:6" x14ac:dyDescent="0.3">
      <c r="A201" s="3">
        <v>194</v>
      </c>
      <c r="B201" s="7">
        <f t="shared" ref="B201:B257" si="21">$B$1+($B$5*QUOTIENT(A201-1,12))</f>
        <v>7800000</v>
      </c>
      <c r="C201" s="8">
        <f t="shared" si="18"/>
        <v>154778711.38883203</v>
      </c>
      <c r="D201">
        <f t="shared" si="17"/>
        <v>506705.22491110361</v>
      </c>
      <c r="E201" s="8">
        <f t="shared" si="19"/>
        <v>897000</v>
      </c>
      <c r="F201" s="8">
        <f t="shared" si="20"/>
        <v>156182416.61374313</v>
      </c>
    </row>
    <row r="202" spans="1:6" x14ac:dyDescent="0.3">
      <c r="A202" s="3">
        <v>195</v>
      </c>
      <c r="B202" s="7">
        <f t="shared" si="21"/>
        <v>7800000</v>
      </c>
      <c r="C202" s="8">
        <f t="shared" si="18"/>
        <v>156182416.61374313</v>
      </c>
      <c r="D202">
        <f t="shared" ref="D202:D257" si="22">C202*$B$3</f>
        <v>511300.59054837556</v>
      </c>
      <c r="E202" s="8">
        <f t="shared" si="19"/>
        <v>897000</v>
      </c>
      <c r="F202" s="8">
        <f t="shared" si="20"/>
        <v>157590717.20429149</v>
      </c>
    </row>
    <row r="203" spans="1:6" x14ac:dyDescent="0.3">
      <c r="A203" s="3">
        <v>196</v>
      </c>
      <c r="B203" s="7">
        <f t="shared" si="21"/>
        <v>7800000</v>
      </c>
      <c r="C203" s="8">
        <f t="shared" si="18"/>
        <v>157590717.20429149</v>
      </c>
      <c r="D203">
        <f t="shared" si="22"/>
        <v>515911.00021694798</v>
      </c>
      <c r="E203" s="8">
        <f t="shared" si="19"/>
        <v>897000</v>
      </c>
      <c r="F203" s="8">
        <f t="shared" si="20"/>
        <v>159003628.20450845</v>
      </c>
    </row>
    <row r="204" spans="1:6" x14ac:dyDescent="0.3">
      <c r="A204" s="3">
        <v>197</v>
      </c>
      <c r="B204" s="7">
        <f t="shared" si="21"/>
        <v>7800000</v>
      </c>
      <c r="C204" s="8">
        <f t="shared" si="18"/>
        <v>159003628.20450845</v>
      </c>
      <c r="D204">
        <f t="shared" si="22"/>
        <v>520536.50316706469</v>
      </c>
      <c r="E204" s="8">
        <f t="shared" si="19"/>
        <v>897000</v>
      </c>
      <c r="F204" s="8">
        <f t="shared" si="20"/>
        <v>160421164.70767552</v>
      </c>
    </row>
    <row r="205" spans="1:6" x14ac:dyDescent="0.3">
      <c r="A205" s="3">
        <v>198</v>
      </c>
      <c r="B205" s="7">
        <f t="shared" si="21"/>
        <v>7800000</v>
      </c>
      <c r="C205" s="8">
        <f t="shared" si="18"/>
        <v>160421164.70767552</v>
      </c>
      <c r="D205">
        <f t="shared" si="22"/>
        <v>525177.14881020179</v>
      </c>
      <c r="E205" s="8">
        <f t="shared" si="19"/>
        <v>897000</v>
      </c>
      <c r="F205" s="8">
        <f t="shared" si="20"/>
        <v>161843341.85648572</v>
      </c>
    </row>
    <row r="206" spans="1:6" x14ac:dyDescent="0.3">
      <c r="A206" s="3">
        <v>199</v>
      </c>
      <c r="B206" s="7">
        <f t="shared" si="21"/>
        <v>7800000</v>
      </c>
      <c r="C206" s="8">
        <f t="shared" si="18"/>
        <v>161843341.85648572</v>
      </c>
      <c r="D206">
        <f t="shared" si="22"/>
        <v>529832.98671959608</v>
      </c>
      <c r="E206" s="8">
        <f t="shared" si="19"/>
        <v>897000</v>
      </c>
      <c r="F206" s="8">
        <f t="shared" si="20"/>
        <v>163270174.84320533</v>
      </c>
    </row>
    <row r="207" spans="1:6" x14ac:dyDescent="0.3">
      <c r="A207" s="3">
        <v>200</v>
      </c>
      <c r="B207" s="7">
        <f t="shared" si="21"/>
        <v>7800000</v>
      </c>
      <c r="C207" s="8">
        <f t="shared" si="18"/>
        <v>163270174.84320533</v>
      </c>
      <c r="D207">
        <f t="shared" si="22"/>
        <v>534504.06663077371</v>
      </c>
      <c r="E207" s="8">
        <f t="shared" si="19"/>
        <v>897000</v>
      </c>
      <c r="F207" s="8">
        <f t="shared" si="20"/>
        <v>164701678.90983611</v>
      </c>
    </row>
    <row r="208" spans="1:6" x14ac:dyDescent="0.3">
      <c r="A208" s="3">
        <v>201</v>
      </c>
      <c r="B208" s="7">
        <f t="shared" si="21"/>
        <v>7800000</v>
      </c>
      <c r="C208" s="8">
        <f t="shared" si="18"/>
        <v>164701678.90983611</v>
      </c>
      <c r="D208">
        <f t="shared" si="22"/>
        <v>539190.43844208238</v>
      </c>
      <c r="E208" s="8">
        <f t="shared" si="19"/>
        <v>897000</v>
      </c>
      <c r="F208" s="8">
        <f t="shared" si="20"/>
        <v>166137869.34827819</v>
      </c>
    </row>
    <row r="209" spans="1:6" x14ac:dyDescent="0.3">
      <c r="A209" s="3">
        <v>202</v>
      </c>
      <c r="B209" s="7">
        <f t="shared" si="21"/>
        <v>7800000</v>
      </c>
      <c r="C209" s="8">
        <f t="shared" si="18"/>
        <v>166137869.34827819</v>
      </c>
      <c r="D209">
        <f t="shared" si="22"/>
        <v>543892.15221522399</v>
      </c>
      <c r="E209" s="8">
        <f t="shared" si="19"/>
        <v>897000</v>
      </c>
      <c r="F209" s="8">
        <f t="shared" si="20"/>
        <v>167578761.50049341</v>
      </c>
    </row>
    <row r="210" spans="1:6" x14ac:dyDescent="0.3">
      <c r="A210" s="3">
        <v>203</v>
      </c>
      <c r="B210" s="7">
        <f t="shared" si="21"/>
        <v>7800000</v>
      </c>
      <c r="C210" s="8">
        <f t="shared" si="18"/>
        <v>167578761.50049341</v>
      </c>
      <c r="D210">
        <f t="shared" si="22"/>
        <v>548609.25817578915</v>
      </c>
      <c r="E210" s="8">
        <f t="shared" si="19"/>
        <v>897000</v>
      </c>
      <c r="F210" s="8">
        <f t="shared" si="20"/>
        <v>169024370.7586692</v>
      </c>
    </row>
    <row r="211" spans="1:6" x14ac:dyDescent="0.3">
      <c r="A211" s="3">
        <v>204</v>
      </c>
      <c r="B211" s="7">
        <f t="shared" si="21"/>
        <v>7800000</v>
      </c>
      <c r="C211" s="8">
        <f t="shared" si="18"/>
        <v>169024370.7586692</v>
      </c>
      <c r="D211">
        <f t="shared" si="22"/>
        <v>553341.80671379424</v>
      </c>
      <c r="E211" s="8">
        <f t="shared" si="19"/>
        <v>897000</v>
      </c>
      <c r="F211" s="8">
        <f t="shared" si="20"/>
        <v>170474712.56538299</v>
      </c>
    </row>
    <row r="212" spans="1:6" x14ac:dyDescent="0.3">
      <c r="A212" s="3">
        <v>205</v>
      </c>
      <c r="B212" s="7">
        <f t="shared" si="21"/>
        <v>8100000</v>
      </c>
      <c r="C212" s="8">
        <f t="shared" si="18"/>
        <v>170474712.56538299</v>
      </c>
      <c r="D212">
        <f t="shared" si="22"/>
        <v>558089.84838421945</v>
      </c>
      <c r="E212" s="8">
        <f t="shared" si="19"/>
        <v>931500</v>
      </c>
      <c r="F212" s="8">
        <f t="shared" si="20"/>
        <v>171964302.41376722</v>
      </c>
    </row>
    <row r="213" spans="1:6" x14ac:dyDescent="0.3">
      <c r="A213" s="3">
        <v>206</v>
      </c>
      <c r="B213" s="7">
        <f t="shared" si="21"/>
        <v>8100000</v>
      </c>
      <c r="C213" s="8">
        <f t="shared" si="18"/>
        <v>171964302.41376722</v>
      </c>
      <c r="D213">
        <f t="shared" si="22"/>
        <v>562966.37793003453</v>
      </c>
      <c r="E213" s="8">
        <f t="shared" si="19"/>
        <v>931500</v>
      </c>
      <c r="F213" s="8">
        <f t="shared" si="20"/>
        <v>173458768.79169726</v>
      </c>
    </row>
    <row r="214" spans="1:6" x14ac:dyDescent="0.3">
      <c r="A214" s="3">
        <v>207</v>
      </c>
      <c r="B214" s="7">
        <f t="shared" si="21"/>
        <v>8100000</v>
      </c>
      <c r="C214" s="8">
        <f t="shared" si="18"/>
        <v>173458768.79169726</v>
      </c>
      <c r="D214">
        <f t="shared" si="22"/>
        <v>567858.87196462287</v>
      </c>
      <c r="E214" s="8">
        <f t="shared" si="19"/>
        <v>931500</v>
      </c>
      <c r="F214" s="8">
        <f t="shared" si="20"/>
        <v>174958127.6636619</v>
      </c>
    </row>
    <row r="215" spans="1:6" x14ac:dyDescent="0.3">
      <c r="A215" s="3">
        <v>208</v>
      </c>
      <c r="B215" s="7">
        <f t="shared" si="21"/>
        <v>8100000</v>
      </c>
      <c r="C215" s="8">
        <f t="shared" si="18"/>
        <v>174958127.6636619</v>
      </c>
      <c r="D215">
        <f t="shared" si="22"/>
        <v>572767.38275156636</v>
      </c>
      <c r="E215" s="8">
        <f t="shared" si="19"/>
        <v>931500</v>
      </c>
      <c r="F215" s="8">
        <f t="shared" si="20"/>
        <v>176462395.04641345</v>
      </c>
    </row>
    <row r="216" spans="1:6" x14ac:dyDescent="0.3">
      <c r="A216" s="3">
        <v>209</v>
      </c>
      <c r="B216" s="7">
        <f t="shared" si="21"/>
        <v>8100000</v>
      </c>
      <c r="C216" s="8">
        <f t="shared" si="18"/>
        <v>176462395.04641345</v>
      </c>
      <c r="D216">
        <f t="shared" si="22"/>
        <v>577691.96272554435</v>
      </c>
      <c r="E216" s="8">
        <f t="shared" si="19"/>
        <v>931500</v>
      </c>
      <c r="F216" s="8">
        <f t="shared" si="20"/>
        <v>177971587.009139</v>
      </c>
    </row>
    <row r="217" spans="1:6" x14ac:dyDescent="0.3">
      <c r="A217" s="3">
        <v>210</v>
      </c>
      <c r="B217" s="7">
        <f t="shared" si="21"/>
        <v>8100000</v>
      </c>
      <c r="C217" s="8">
        <f t="shared" si="18"/>
        <v>177971587.009139</v>
      </c>
      <c r="D217">
        <f t="shared" si="22"/>
        <v>582632.66449289385</v>
      </c>
      <c r="E217" s="8">
        <f t="shared" si="19"/>
        <v>931500</v>
      </c>
      <c r="F217" s="8">
        <f t="shared" si="20"/>
        <v>179485719.67363191</v>
      </c>
    </row>
    <row r="218" spans="1:6" x14ac:dyDescent="0.3">
      <c r="A218" s="3">
        <v>211</v>
      </c>
      <c r="B218" s="7">
        <f t="shared" si="21"/>
        <v>8100000</v>
      </c>
      <c r="C218" s="8">
        <f t="shared" si="18"/>
        <v>179485719.67363191</v>
      </c>
      <c r="D218">
        <f t="shared" si="22"/>
        <v>587589.5408321711</v>
      </c>
      <c r="E218" s="8">
        <f t="shared" si="19"/>
        <v>931500</v>
      </c>
      <c r="F218" s="8">
        <f t="shared" si="20"/>
        <v>181004809.21446407</v>
      </c>
    </row>
    <row r="219" spans="1:6" x14ac:dyDescent="0.3">
      <c r="A219" s="3">
        <v>212</v>
      </c>
      <c r="B219" s="7">
        <f t="shared" si="21"/>
        <v>8100000</v>
      </c>
      <c r="C219" s="8">
        <f t="shared" si="18"/>
        <v>181004809.21446407</v>
      </c>
      <c r="D219">
        <f t="shared" si="22"/>
        <v>592562.64469471562</v>
      </c>
      <c r="E219" s="8">
        <f t="shared" si="19"/>
        <v>931500</v>
      </c>
      <c r="F219" s="8">
        <f t="shared" si="20"/>
        <v>182528871.85915878</v>
      </c>
    </row>
    <row r="220" spans="1:6" x14ac:dyDescent="0.3">
      <c r="A220" s="3">
        <v>213</v>
      </c>
      <c r="B220" s="7">
        <f t="shared" si="21"/>
        <v>8100000</v>
      </c>
      <c r="C220" s="8">
        <f t="shared" si="18"/>
        <v>182528871.85915878</v>
      </c>
      <c r="D220">
        <f t="shared" si="22"/>
        <v>597552.02920521609</v>
      </c>
      <c r="E220" s="8">
        <f t="shared" si="19"/>
        <v>931500</v>
      </c>
      <c r="F220" s="8">
        <f t="shared" si="20"/>
        <v>184057923.88836399</v>
      </c>
    </row>
    <row r="221" spans="1:6" x14ac:dyDescent="0.3">
      <c r="A221" s="3">
        <v>214</v>
      </c>
      <c r="B221" s="7">
        <f t="shared" si="21"/>
        <v>8100000</v>
      </c>
      <c r="C221" s="8">
        <f t="shared" si="18"/>
        <v>184057923.88836399</v>
      </c>
      <c r="D221">
        <f t="shared" si="22"/>
        <v>602557.74766227708</v>
      </c>
      <c r="E221" s="8">
        <f t="shared" si="19"/>
        <v>931500</v>
      </c>
      <c r="F221" s="8">
        <f t="shared" si="20"/>
        <v>185591981.63602626</v>
      </c>
    </row>
    <row r="222" spans="1:6" x14ac:dyDescent="0.3">
      <c r="A222" s="3">
        <v>215</v>
      </c>
      <c r="B222" s="7">
        <f t="shared" si="21"/>
        <v>8100000</v>
      </c>
      <c r="C222" s="8">
        <f t="shared" si="18"/>
        <v>185591981.63602626</v>
      </c>
      <c r="D222">
        <f t="shared" si="22"/>
        <v>607579.85353898956</v>
      </c>
      <c r="E222" s="8">
        <f t="shared" si="19"/>
        <v>931500</v>
      </c>
      <c r="F222" s="8">
        <f t="shared" si="20"/>
        <v>187131061.48956525</v>
      </c>
    </row>
    <row r="223" spans="1:6" x14ac:dyDescent="0.3">
      <c r="A223" s="3">
        <v>216</v>
      </c>
      <c r="B223" s="7">
        <f t="shared" si="21"/>
        <v>8100000</v>
      </c>
      <c r="C223" s="8">
        <f t="shared" si="18"/>
        <v>187131061.48956525</v>
      </c>
      <c r="D223">
        <f t="shared" si="22"/>
        <v>612618.40048350103</v>
      </c>
      <c r="E223" s="8">
        <f t="shared" si="19"/>
        <v>931500</v>
      </c>
      <c r="F223" s="8">
        <f t="shared" si="20"/>
        <v>188675179.89004874</v>
      </c>
    </row>
    <row r="224" spans="1:6" x14ac:dyDescent="0.3">
      <c r="A224" s="3">
        <v>217</v>
      </c>
      <c r="B224" s="7">
        <f t="shared" si="21"/>
        <v>8400000</v>
      </c>
      <c r="C224" s="8">
        <f t="shared" si="18"/>
        <v>188675179.89004874</v>
      </c>
      <c r="D224">
        <f t="shared" si="22"/>
        <v>617673.4423195892</v>
      </c>
      <c r="E224" s="8">
        <f t="shared" si="19"/>
        <v>966000</v>
      </c>
      <c r="F224" s="8">
        <f t="shared" si="20"/>
        <v>190258853.33236834</v>
      </c>
    </row>
    <row r="225" spans="1:6" x14ac:dyDescent="0.3">
      <c r="A225" s="3">
        <v>218</v>
      </c>
      <c r="B225" s="7">
        <f t="shared" si="21"/>
        <v>8400000</v>
      </c>
      <c r="C225" s="8">
        <f t="shared" si="18"/>
        <v>190258853.33236834</v>
      </c>
      <c r="D225">
        <f t="shared" si="22"/>
        <v>622857.97706972272</v>
      </c>
      <c r="E225" s="8">
        <f t="shared" si="19"/>
        <v>966000</v>
      </c>
      <c r="F225" s="8">
        <f t="shared" si="20"/>
        <v>191847711.30943808</v>
      </c>
    </row>
    <row r="226" spans="1:6" x14ac:dyDescent="0.3">
      <c r="A226" s="3">
        <v>219</v>
      </c>
      <c r="B226" s="7">
        <f t="shared" si="21"/>
        <v>8400000</v>
      </c>
      <c r="C226" s="8">
        <f t="shared" si="18"/>
        <v>191847711.30943808</v>
      </c>
      <c r="D226">
        <f t="shared" si="22"/>
        <v>628059.48463752004</v>
      </c>
      <c r="E226" s="8">
        <f t="shared" si="19"/>
        <v>966000</v>
      </c>
      <c r="F226" s="8">
        <f t="shared" si="20"/>
        <v>193441770.79407561</v>
      </c>
    </row>
    <row r="227" spans="1:6" x14ac:dyDescent="0.3">
      <c r="A227" s="3">
        <v>220</v>
      </c>
      <c r="B227" s="7">
        <f t="shared" si="21"/>
        <v>8400000</v>
      </c>
      <c r="C227" s="8">
        <f t="shared" si="18"/>
        <v>193441770.79407561</v>
      </c>
      <c r="D227">
        <f t="shared" si="22"/>
        <v>633278.02058756945</v>
      </c>
      <c r="E227" s="8">
        <f t="shared" si="19"/>
        <v>966000</v>
      </c>
      <c r="F227" s="8">
        <f t="shared" si="20"/>
        <v>195041048.81466317</v>
      </c>
    </row>
    <row r="228" spans="1:6" x14ac:dyDescent="0.3">
      <c r="A228" s="3">
        <v>221</v>
      </c>
      <c r="B228" s="7">
        <f t="shared" si="21"/>
        <v>8400000</v>
      </c>
      <c r="C228" s="8">
        <f t="shared" si="18"/>
        <v>195041048.81466317</v>
      </c>
      <c r="D228">
        <f t="shared" si="22"/>
        <v>638513.6406663633</v>
      </c>
      <c r="E228" s="8">
        <f t="shared" si="19"/>
        <v>966000</v>
      </c>
      <c r="F228" s="8">
        <f t="shared" si="20"/>
        <v>196645562.45532954</v>
      </c>
    </row>
    <row r="229" spans="1:6" x14ac:dyDescent="0.3">
      <c r="A229" s="3">
        <v>222</v>
      </c>
      <c r="B229" s="7">
        <f t="shared" si="21"/>
        <v>8400000</v>
      </c>
      <c r="C229" s="8">
        <f t="shared" si="18"/>
        <v>196645562.45532954</v>
      </c>
      <c r="D229">
        <f t="shared" si="22"/>
        <v>643766.40080289356</v>
      </c>
      <c r="E229" s="8">
        <f t="shared" si="19"/>
        <v>966000</v>
      </c>
      <c r="F229" s="8">
        <f t="shared" si="20"/>
        <v>198255328.85613242</v>
      </c>
    </row>
    <row r="230" spans="1:6" x14ac:dyDescent="0.3">
      <c r="A230" s="3">
        <v>223</v>
      </c>
      <c r="B230" s="7">
        <f t="shared" si="21"/>
        <v>8400000</v>
      </c>
      <c r="C230" s="8">
        <f t="shared" si="18"/>
        <v>198255328.85613242</v>
      </c>
      <c r="D230">
        <f t="shared" si="22"/>
        <v>649036.3571092491</v>
      </c>
      <c r="E230" s="8">
        <f t="shared" si="19"/>
        <v>966000</v>
      </c>
      <c r="F230" s="8">
        <f t="shared" si="20"/>
        <v>199870365.21324167</v>
      </c>
    </row>
    <row r="231" spans="1:6" x14ac:dyDescent="0.3">
      <c r="A231" s="3">
        <v>224</v>
      </c>
      <c r="B231" s="7">
        <f t="shared" si="21"/>
        <v>8400000</v>
      </c>
      <c r="C231" s="8">
        <f t="shared" si="18"/>
        <v>199870365.21324167</v>
      </c>
      <c r="D231">
        <f t="shared" si="22"/>
        <v>654323.56588121527</v>
      </c>
      <c r="E231" s="8">
        <f t="shared" si="19"/>
        <v>966000</v>
      </c>
      <c r="F231" s="8">
        <f t="shared" si="20"/>
        <v>201490688.77912289</v>
      </c>
    </row>
    <row r="232" spans="1:6" x14ac:dyDescent="0.3">
      <c r="A232" s="3">
        <v>225</v>
      </c>
      <c r="B232" s="7">
        <f t="shared" si="21"/>
        <v>8400000</v>
      </c>
      <c r="C232" s="8">
        <f t="shared" si="18"/>
        <v>201490688.77912289</v>
      </c>
      <c r="D232">
        <f t="shared" si="22"/>
        <v>659628.08359887497</v>
      </c>
      <c r="E232" s="8">
        <f t="shared" si="19"/>
        <v>966000</v>
      </c>
      <c r="F232" s="8">
        <f t="shared" si="20"/>
        <v>203116316.86272177</v>
      </c>
    </row>
    <row r="233" spans="1:6" x14ac:dyDescent="0.3">
      <c r="A233" s="3">
        <v>226</v>
      </c>
      <c r="B233" s="7">
        <f t="shared" si="21"/>
        <v>8400000</v>
      </c>
      <c r="C233" s="8">
        <f t="shared" si="18"/>
        <v>203116316.86272177</v>
      </c>
      <c r="D233">
        <f t="shared" si="22"/>
        <v>664949.96692721243</v>
      </c>
      <c r="E233" s="8">
        <f t="shared" si="19"/>
        <v>966000</v>
      </c>
      <c r="F233" s="8">
        <f t="shared" si="20"/>
        <v>204747266.82964897</v>
      </c>
    </row>
    <row r="234" spans="1:6" x14ac:dyDescent="0.3">
      <c r="A234" s="3">
        <v>227</v>
      </c>
      <c r="B234" s="7">
        <f t="shared" si="21"/>
        <v>8400000</v>
      </c>
      <c r="C234" s="8">
        <f t="shared" si="18"/>
        <v>204747266.82964897</v>
      </c>
      <c r="D234">
        <f t="shared" si="22"/>
        <v>670289.27271671803</v>
      </c>
      <c r="E234" s="8">
        <f t="shared" si="19"/>
        <v>966000</v>
      </c>
      <c r="F234" s="8">
        <f t="shared" si="20"/>
        <v>206383556.1023657</v>
      </c>
    </row>
    <row r="235" spans="1:6" x14ac:dyDescent="0.3">
      <c r="A235" s="3">
        <v>228</v>
      </c>
      <c r="B235" s="7">
        <f t="shared" si="21"/>
        <v>8400000</v>
      </c>
      <c r="C235" s="8">
        <f t="shared" si="18"/>
        <v>206383556.1023657</v>
      </c>
      <c r="D235">
        <f t="shared" si="22"/>
        <v>675646.05800399615</v>
      </c>
      <c r="E235" s="8">
        <f t="shared" si="19"/>
        <v>966000</v>
      </c>
      <c r="F235" s="8">
        <f t="shared" si="20"/>
        <v>208025202.16036969</v>
      </c>
    </row>
    <row r="236" spans="1:6" x14ac:dyDescent="0.3">
      <c r="A236" s="3">
        <v>229</v>
      </c>
      <c r="B236" s="7">
        <f t="shared" si="21"/>
        <v>8700000</v>
      </c>
      <c r="C236" s="8">
        <f t="shared" si="18"/>
        <v>208025202.16036969</v>
      </c>
      <c r="D236">
        <f t="shared" si="22"/>
        <v>681020.38001237379</v>
      </c>
      <c r="E236" s="8">
        <f t="shared" si="19"/>
        <v>1000500</v>
      </c>
      <c r="F236" s="8">
        <f t="shared" si="20"/>
        <v>209706722.54038206</v>
      </c>
    </row>
    <row r="237" spans="1:6" x14ac:dyDescent="0.3">
      <c r="A237" s="3">
        <v>230</v>
      </c>
      <c r="B237" s="7">
        <f t="shared" si="21"/>
        <v>8700000</v>
      </c>
      <c r="C237" s="8">
        <f t="shared" si="18"/>
        <v>209706722.54038206</v>
      </c>
      <c r="D237">
        <f t="shared" si="22"/>
        <v>686525.24017499853</v>
      </c>
      <c r="E237" s="8">
        <f t="shared" si="19"/>
        <v>1000500</v>
      </c>
      <c r="F237" s="8">
        <f t="shared" si="20"/>
        <v>211393747.78055707</v>
      </c>
    </row>
    <row r="238" spans="1:6" x14ac:dyDescent="0.3">
      <c r="A238" s="3">
        <v>231</v>
      </c>
      <c r="B238" s="7">
        <f t="shared" si="21"/>
        <v>8700000</v>
      </c>
      <c r="C238" s="8">
        <f t="shared" si="18"/>
        <v>211393747.78055707</v>
      </c>
      <c r="D238">
        <f t="shared" si="22"/>
        <v>692048.12181733316</v>
      </c>
      <c r="E238" s="8">
        <f t="shared" si="19"/>
        <v>1000500</v>
      </c>
      <c r="F238" s="8">
        <f t="shared" si="20"/>
        <v>213086295.90237439</v>
      </c>
    </row>
    <row r="239" spans="1:6" x14ac:dyDescent="0.3">
      <c r="A239" s="3">
        <v>232</v>
      </c>
      <c r="B239" s="7">
        <f t="shared" si="21"/>
        <v>8700000</v>
      </c>
      <c r="C239" s="8">
        <f t="shared" si="18"/>
        <v>213086295.90237439</v>
      </c>
      <c r="D239">
        <f t="shared" si="22"/>
        <v>697589.08393701259</v>
      </c>
      <c r="E239" s="8">
        <f t="shared" si="19"/>
        <v>1000500</v>
      </c>
      <c r="F239" s="8">
        <f t="shared" si="20"/>
        <v>214784384.98631141</v>
      </c>
    </row>
    <row r="240" spans="1:6" x14ac:dyDescent="0.3">
      <c r="A240" s="3">
        <v>233</v>
      </c>
      <c r="B240" s="7">
        <f t="shared" si="21"/>
        <v>8700000</v>
      </c>
      <c r="C240" s="8">
        <f t="shared" si="18"/>
        <v>214784384.98631141</v>
      </c>
      <c r="D240">
        <f t="shared" si="22"/>
        <v>703148.18572481489</v>
      </c>
      <c r="E240" s="8">
        <f t="shared" si="19"/>
        <v>1000500</v>
      </c>
      <c r="F240" s="8">
        <f t="shared" si="20"/>
        <v>216488033.17203623</v>
      </c>
    </row>
    <row r="241" spans="1:6" x14ac:dyDescent="0.3">
      <c r="A241" s="3">
        <v>234</v>
      </c>
      <c r="B241" s="7">
        <f t="shared" si="21"/>
        <v>8700000</v>
      </c>
      <c r="C241" s="8">
        <f t="shared" si="18"/>
        <v>216488033.17203623</v>
      </c>
      <c r="D241">
        <f t="shared" si="22"/>
        <v>708725.48656529328</v>
      </c>
      <c r="E241" s="8">
        <f t="shared" si="19"/>
        <v>1000500</v>
      </c>
      <c r="F241" s="8">
        <f t="shared" si="20"/>
        <v>218197258.65860152</v>
      </c>
    </row>
    <row r="242" spans="1:6" x14ac:dyDescent="0.3">
      <c r="A242" s="3">
        <v>235</v>
      </c>
      <c r="B242" s="7">
        <f t="shared" si="21"/>
        <v>8700000</v>
      </c>
      <c r="C242" s="8">
        <f t="shared" si="18"/>
        <v>218197258.65860152</v>
      </c>
      <c r="D242">
        <f t="shared" si="22"/>
        <v>714321.04603741039</v>
      </c>
      <c r="E242" s="8">
        <f t="shared" si="19"/>
        <v>1000500</v>
      </c>
      <c r="F242" s="8">
        <f t="shared" si="20"/>
        <v>219912079.70463893</v>
      </c>
    </row>
    <row r="243" spans="1:6" x14ac:dyDescent="0.3">
      <c r="A243" s="3">
        <v>236</v>
      </c>
      <c r="B243" s="7">
        <f t="shared" si="21"/>
        <v>8700000</v>
      </c>
      <c r="C243" s="8">
        <f t="shared" si="18"/>
        <v>219912079.70463893</v>
      </c>
      <c r="D243">
        <f t="shared" si="22"/>
        <v>719934.92391517502</v>
      </c>
      <c r="E243" s="8">
        <f t="shared" si="19"/>
        <v>1000500</v>
      </c>
      <c r="F243" s="8">
        <f t="shared" si="20"/>
        <v>221632514.62855411</v>
      </c>
    </row>
    <row r="244" spans="1:6" x14ac:dyDescent="0.3">
      <c r="A244" s="3">
        <v>237</v>
      </c>
      <c r="B244" s="7">
        <f t="shared" si="21"/>
        <v>8700000</v>
      </c>
      <c r="C244" s="8">
        <f t="shared" si="18"/>
        <v>221632514.62855411</v>
      </c>
      <c r="D244">
        <f t="shared" si="22"/>
        <v>725567.18016828049</v>
      </c>
      <c r="E244" s="8">
        <f t="shared" si="19"/>
        <v>1000500</v>
      </c>
      <c r="F244" s="8">
        <f t="shared" si="20"/>
        <v>223358581.80872238</v>
      </c>
    </row>
    <row r="245" spans="1:6" x14ac:dyDescent="0.3">
      <c r="A245" s="3">
        <v>238</v>
      </c>
      <c r="B245" s="7">
        <f t="shared" si="21"/>
        <v>8700000</v>
      </c>
      <c r="C245" s="8">
        <f t="shared" si="18"/>
        <v>223358581.80872238</v>
      </c>
      <c r="D245">
        <f t="shared" si="22"/>
        <v>731217.87496274523</v>
      </c>
      <c r="E245" s="8">
        <f t="shared" si="19"/>
        <v>1000500</v>
      </c>
      <c r="F245" s="8">
        <f t="shared" si="20"/>
        <v>225090299.68368512</v>
      </c>
    </row>
    <row r="246" spans="1:6" x14ac:dyDescent="0.3">
      <c r="A246" s="3">
        <v>239</v>
      </c>
      <c r="B246" s="7">
        <f t="shared" si="21"/>
        <v>8700000</v>
      </c>
      <c r="C246" s="8">
        <f t="shared" si="18"/>
        <v>225090299.68368512</v>
      </c>
      <c r="D246">
        <f t="shared" si="22"/>
        <v>736887.06866155576</v>
      </c>
      <c r="E246" s="8">
        <f t="shared" si="19"/>
        <v>1000500</v>
      </c>
      <c r="F246" s="8">
        <f t="shared" si="20"/>
        <v>226827686.75234669</v>
      </c>
    </row>
    <row r="247" spans="1:6" x14ac:dyDescent="0.3">
      <c r="A247" s="3">
        <v>240</v>
      </c>
      <c r="B247" s="7">
        <f t="shared" si="21"/>
        <v>8700000</v>
      </c>
      <c r="C247" s="8">
        <f t="shared" si="18"/>
        <v>226827686.75234669</v>
      </c>
      <c r="D247">
        <f t="shared" si="22"/>
        <v>742574.82182531105</v>
      </c>
      <c r="E247" s="8">
        <f t="shared" si="19"/>
        <v>1000500</v>
      </c>
      <c r="F247" s="8">
        <f t="shared" si="20"/>
        <v>228570761.57417202</v>
      </c>
    </row>
    <row r="248" spans="1:6" x14ac:dyDescent="0.3">
      <c r="A248" s="3"/>
      <c r="B248" s="7"/>
      <c r="C248" s="8"/>
      <c r="E248" s="8"/>
      <c r="F248" s="8"/>
    </row>
    <row r="249" spans="1:6" x14ac:dyDescent="0.3">
      <c r="A249" s="3"/>
      <c r="B249" s="7"/>
      <c r="C249" s="8"/>
      <c r="E249" s="8"/>
      <c r="F249" s="8"/>
    </row>
    <row r="250" spans="1:6" x14ac:dyDescent="0.3">
      <c r="A250" s="3"/>
      <c r="B250" s="7"/>
      <c r="C250" s="8"/>
      <c r="E250" s="8"/>
      <c r="F250" s="8"/>
    </row>
    <row r="251" spans="1:6" x14ac:dyDescent="0.3">
      <c r="A251" s="3"/>
      <c r="B251" s="7"/>
      <c r="C251" s="8"/>
      <c r="E251" s="8"/>
      <c r="F251" s="8"/>
    </row>
    <row r="252" spans="1:6" x14ac:dyDescent="0.3">
      <c r="A252" s="3"/>
      <c r="B252" s="7"/>
      <c r="C252" s="8"/>
      <c r="E252" s="8"/>
      <c r="F252" s="8"/>
    </row>
    <row r="253" spans="1:6" x14ac:dyDescent="0.3">
      <c r="A253" s="3"/>
      <c r="B253" s="7"/>
      <c r="C253" s="8"/>
      <c r="E253" s="8"/>
      <c r="F253" s="8"/>
    </row>
    <row r="254" spans="1:6" x14ac:dyDescent="0.3">
      <c r="A254" s="3"/>
      <c r="B254" s="7"/>
      <c r="C254" s="8"/>
      <c r="E254" s="8"/>
      <c r="F254" s="8"/>
    </row>
    <row r="255" spans="1:6" x14ac:dyDescent="0.3">
      <c r="A255" s="3"/>
      <c r="B255" s="7"/>
      <c r="C255" s="8"/>
      <c r="E255" s="8"/>
      <c r="F255" s="8"/>
    </row>
    <row r="256" spans="1:6" x14ac:dyDescent="0.3">
      <c r="A256" s="3"/>
      <c r="B256" s="7"/>
      <c r="C256" s="8"/>
      <c r="E256" s="8"/>
      <c r="F256" s="8"/>
    </row>
    <row r="257" spans="1:6" x14ac:dyDescent="0.3">
      <c r="A257" s="3"/>
      <c r="B257" s="7"/>
      <c r="C257" s="8"/>
      <c r="E257" s="8"/>
      <c r="F25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JEISSON DAVID SANCHEZ GOMEZ</dc:creator>
  <cp:lastModifiedBy>JEISSON DAVID SANCHEZ GOMEZ</cp:lastModifiedBy>
  <dcterms:created xsi:type="dcterms:W3CDTF">2026-04-22T17:16:48Z</dcterms:created>
  <dcterms:modified xsi:type="dcterms:W3CDTF">2026-04-22T17:40:25Z</dcterms:modified>
</cp:coreProperties>
</file>